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LEEME" sheetId="1" state="visible" r:id="rId3"/>
    <sheet name="Parametros" sheetId="2" state="visible" r:id="rId4"/>
    <sheet name="Candidatos" sheetId="3" state="visible" r:id="rId5"/>
    <sheet name="Presupuesto" sheetId="4" state="visible" r:id="rId6"/>
    <sheet name="Demanda" sheetId="5" state="visible" r:id="rId7"/>
    <sheet name="Coordenadas" sheetId="6" state="visible" r:id="rId8"/>
    <sheet name="Distancias_km" sheetId="7" state="visible" r:id="rId9"/>
    <sheet name="Distancias_OSRM" sheetId="8" state="visible" r:id="rId10"/>
    <sheet name="Alcance_180km" sheetId="9" state="visible" r:id="rId11"/>
    <sheet name="Control_distancias" sheetId="10" state="visible" r:id="rId12"/>
    <sheet name="Fuentes" sheetId="11" state="visible" r:id="rId13"/>
    <sheet name="Registro_cambios" sheetId="12" state="visible" r:id="rId14"/>
    <sheet name="Albergados_observados" sheetId="13" state="visible" r:id="rId15"/>
    <sheet name="Control_140_160km" sheetId="14" state="visible" r:id="rId16"/>
    <sheet name="Calidad_datos" sheetId="15" state="visible" r:id="rId17"/>
    <sheet name="Diccionario" sheetId="16" state="visible" r:id="rId1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<sst xmlns="http://schemas.openxmlformats.org/spreadsheetml/2006/main" count="3471" uniqueCount="1022">
  <si>
    <t xml:space="preserve">LEEME — base_datos_caso2.xlsx</t>
  </si>
  <si>
    <t xml:space="preserve">Campo</t>
  </si>
  <si>
    <t xml:space="preserve">Descripción</t>
  </si>
  <si>
    <t xml:space="preserve">Propósito</t>
  </si>
  <si>
    <t xml:space="preserve">Base de datos del Caso 2 (terremoto del 10-ago-2026): demanda, candidatos, costos, coordenadas y distancias por carretera.</t>
  </si>
  <si>
    <t xml:space="preserve">Cómo se genera</t>
  </si>
  <si>
    <t xml:space="preserve">notebooks/01_datos_coordenadas_distancias.ipynb a partir de data/raw/base_datos_caso2_original.xlsx (fórmulas del grupo intactas).</t>
  </si>
  <si>
    <t xml:space="preserve">Hojas del grupo</t>
  </si>
  <si>
    <t xml:space="preserve">Parametros (fuente única de supuestos; P25–P27 agregados), Candidatos, Presupuesto, Demanda.</t>
  </si>
  <si>
    <t xml:space="preserve">Hojas agregadas</t>
  </si>
  <si>
    <t xml:space="preserve">Coordenadas, Distancias_km (matriz final), Distancias_OSRM, Alcance_180km, Control_distancias, Control_140_160km, Albergados_observados, Fuentes, Registro_cambios, Calidad_datos, Diccionario.</t>
  </si>
  <si>
    <t xml:space="preserve">Calidad de datos</t>
  </si>
  <si>
    <t xml:space="preserve">Hoja Calidad_datos: pruebas PASS / WARNING / FAIL sobre los datos de entrada (objetivo 0 FAIL); misma tabla que results/tablas/calidad_datos.csv.</t>
  </si>
  <si>
    <t xml:space="preserve">Tipos de dato</t>
  </si>
  <si>
    <t xml:space="preserve">Real = dato de fuente o del enunciado; Calculado = derivado con fórmula; Supuesto = decisión del grupo (ver hoja Diccionario).</t>
  </si>
  <si>
    <t xml:space="preserve">Unidades</t>
  </si>
  <si>
    <t xml:space="preserve">Costos en COP; distancias en km por carretera; capacidades y demanda en personas.</t>
  </si>
  <si>
    <t xml:space="preserve">Supuestos clave</t>
  </si>
  <si>
    <t xml:space="preserve">c_f = 200.000 COP/plaza-mes; φ = 0,85/1,00/1,15; f = 10 %; v = 60.000 COP (redondeo de 29.730 + 29.730).</t>
  </si>
  <si>
    <t xml:space="preserve">Decisiones metodológicas</t>
  </si>
  <si>
    <t xml:space="preserve">17 candidatos con 10 pequeños (sin ellos no se llega a 15); presupuesto sobre el costo total; matriz combinada Google Maps/OSRM. Alternativas solo como sensibilidad.</t>
  </si>
  <si>
    <t xml:space="preserve">Fuentes</t>
  </si>
  <si>
    <t xml:space="preserve">Hoja Fuentes (ID, URL, tipo, uso y verificación) y docs/bibliografia.md.</t>
  </si>
  <si>
    <t xml:space="preserve">Parámetros y registro de supuestos – Caso 2: Terremoto en Colombia (10-ago-2026)</t>
  </si>
  <si>
    <t xml:space="preserve">Leyenda: texto azul = valor de entrada editable · fondo amarillo = supuesto provisional clave (sensibilidad pendiente) · Tipo: Real (dato de fuente o del enunciado), Calculado, Supuesto.</t>
  </si>
  <si>
    <t xml:space="preserve">ID</t>
  </si>
  <si>
    <t xml:space="preserve">Parámetro</t>
  </si>
  <si>
    <t xml:space="preserve">Valor</t>
  </si>
  <si>
    <t xml:space="preserve">Unidad</t>
  </si>
  <si>
    <t xml:space="preserve">Tipo</t>
  </si>
  <si>
    <t xml:space="preserve">Fuente / justificación</t>
  </si>
  <si>
    <t xml:space="preserve">P01</t>
  </si>
  <si>
    <t xml:space="preserve">Costo fijo por plaza-mes (c_f)</t>
  </si>
  <si>
    <t xml:space="preserve">COP/plaza-mes</t>
  </si>
  <si>
    <t xml:space="preserve">Supuesto</t>
  </si>
  <si>
    <t xml:space="preserve">PROVISIONAL. Supuesto propio: ≈40–55% del apoyo UNGRD por persona (Cronista 02-sep-2026: $787.907–1.050.543 por hogar-mes). Sin fuente colombiana de costo de operación de campamentos.</t>
  </si>
  <si>
    <t xml:space="preserve">P02</t>
  </si>
  <si>
    <t xml:space="preserve">Duración de referencia (T)</t>
  </si>
  <si>
    <t xml:space="preserve">meses</t>
  </si>
  <si>
    <t xml:space="preserve">Igual al periodo de 3 pagos del apoyo económico UNGRD (Cronista 02-sep-2026).</t>
  </si>
  <si>
    <t xml:space="preserve">P03</t>
  </si>
  <si>
    <t xml:space="preserve">Costo variable por persona (v)</t>
  </si>
  <si>
    <t xml:space="preserve">COP/persona</t>
  </si>
  <si>
    <t xml:space="preserve">Kit de alimentación ($29.730) + kit de aseo ($29.730), gama alta, precios minoristas D1 (El Tiempo, 14-ago-2026). No es precio institucional. La suma es 59.460: v = 60.000 es un redondeo declarado (+540, ver P27).</t>
  </si>
  <si>
    <t xml:space="preserve">P04</t>
  </si>
  <si>
    <t xml:space="preserve">Costo de transporte</t>
  </si>
  <si>
    <t xml:space="preserve">COP/km·persona</t>
  </si>
  <si>
    <t xml:space="preserve">Real</t>
  </si>
  <si>
    <t xml:space="preserve">Enunciado del caso (costo lineal).</t>
  </si>
  <si>
    <t xml:space="preserve">P05</t>
  </si>
  <si>
    <t xml:space="preserve">Factor de escala – Grande</t>
  </si>
  <si>
    <t xml:space="preserve">adimensional</t>
  </si>
  <si>
    <t xml:space="preserve">Economías de escala en campamentos grandes.</t>
  </si>
  <si>
    <t xml:space="preserve">P06</t>
  </si>
  <si>
    <t xml:space="preserve">Factor de escala – Intermedia</t>
  </si>
  <si>
    <t xml:space="preserve">Categoría de referencia.</t>
  </si>
  <si>
    <t xml:space="preserve">P07</t>
  </si>
  <si>
    <t xml:space="preserve">Factor de escala – Pequeña</t>
  </si>
  <si>
    <t xml:space="preserve">Deseconomías de escala en campamentos pequeños.</t>
  </si>
  <si>
    <t xml:space="preserve">P08</t>
  </si>
  <si>
    <t xml:space="preserve">Capacidad – Grande</t>
  </si>
  <si>
    <t xml:space="preserve">personas</t>
  </si>
  <si>
    <t xml:space="preserve">Enunciado del caso.</t>
  </si>
  <si>
    <t xml:space="preserve">P09</t>
  </si>
  <si>
    <t xml:space="preserve">Capacidad – Intermedia</t>
  </si>
  <si>
    <t xml:space="preserve">P10</t>
  </si>
  <si>
    <t xml:space="preserve">Capacidad – Pequeña</t>
  </si>
  <si>
    <t xml:space="preserve">P11</t>
  </si>
  <si>
    <t xml:space="preserve">Corte población Grande (≥)</t>
  </si>
  <si>
    <t xml:space="preserve">habitantes</t>
  </si>
  <si>
    <t xml:space="preserve">Corte propio (decisión 6).</t>
  </si>
  <si>
    <t xml:space="preserve">P12</t>
  </si>
  <si>
    <t xml:space="preserve">Corte población Intermedia (≥)</t>
  </si>
  <si>
    <t xml:space="preserve">Sigue el umbral de 100.000 del Sistema de Ciudades del DNP (verificado solo en fuente secundaria).</t>
  </si>
  <si>
    <t xml:space="preserve">P13</t>
  </si>
  <si>
    <t xml:space="preserve">Umbral NH para candidato (&lt;)</t>
  </si>
  <si>
    <t xml:space="preserve">viviendas</t>
  </si>
  <si>
    <t xml:space="preserve">S2: separa candidatos de demanda con zona gris 250–399.</t>
  </si>
  <si>
    <t xml:space="preserve">P14</t>
  </si>
  <si>
    <t xml:space="preserve">Umbral % población registrada para candidato (&lt;)</t>
  </si>
  <si>
    <t xml:space="preserve">fracción</t>
  </si>
  <si>
    <t xml:space="preserve">S7: evita candidatos muy afectados en proporción (El Águila, El Dovio, Alcalá, Ulloa).</t>
  </si>
  <si>
    <t xml:space="preserve">P15</t>
  </si>
  <si>
    <t xml:space="preserve">Umbral NH para demanda (≥)</t>
  </si>
  <si>
    <t xml:space="preserve">S1: da 29 municipios.</t>
  </si>
  <si>
    <t xml:space="preserve">P16</t>
  </si>
  <si>
    <t xml:space="preserve">Distancia máxima de traslado</t>
  </si>
  <si>
    <t xml:space="preserve">km</t>
  </si>
  <si>
    <t xml:space="preserve">P17</t>
  </si>
  <si>
    <t xml:space="preserve">Presupuesto como % de Σ costo fijo de los 10 mayores</t>
  </si>
  <si>
    <t xml:space="preserve">P18</t>
  </si>
  <si>
    <t xml:space="preserve">Reducción de presupuesto – escenario A</t>
  </si>
  <si>
    <t xml:space="preserve">Enunciado pide entre 15% y 30%; se elige el extremo inferior.</t>
  </si>
  <si>
    <t xml:space="preserve">P19</t>
  </si>
  <si>
    <t xml:space="preserve">Reducción de presupuesto – escenario B</t>
  </si>
  <si>
    <t xml:space="preserve">Enunciado pide entre 15% y 30%; se elige el extremo superior.</t>
  </si>
  <si>
    <t xml:space="preserve">P20</t>
  </si>
  <si>
    <t xml:space="preserve">Fracción a campamento f – BASE</t>
  </si>
  <si>
    <t xml:space="preserve">S5: escenario de planeación (ABAG/Hazus: 11,6%, rango 8,3–13,2%). No es tasa observada en Colombia.</t>
  </si>
  <si>
    <t xml:space="preserve">P21</t>
  </si>
  <si>
    <t xml:space="preserve">Fracción f – sensibilidad baja</t>
  </si>
  <si>
    <t xml:space="preserve">Cercana a lo observado (Pereira 2,3%, Manizales 2,7%).</t>
  </si>
  <si>
    <t xml:space="preserve">P22</t>
  </si>
  <si>
    <t xml:space="preserve">Fracción f – sensibilidad media</t>
  </si>
  <si>
    <t xml:space="preserve">Techo aprox. de lo observado (Dosquebradas 4,4%).</t>
  </si>
  <si>
    <t xml:space="preserve">P23</t>
  </si>
  <si>
    <t xml:space="preserve">Fracción f – sensibilidad alta</t>
  </si>
  <si>
    <t xml:space="preserve">Extremo alto del rango ABAG.</t>
  </si>
  <si>
    <t xml:space="preserve">P24</t>
  </si>
  <si>
    <t xml:space="preserve">Tamaño de hogar alternativo</t>
  </si>
  <si>
    <t xml:space="preserve">personas/hogar</t>
  </si>
  <si>
    <t xml:space="preserve">Sensibilidad; la base usa personas/familias del RUD por municipio (S6).</t>
  </si>
  <si>
    <t xml:space="preserve">P25</t>
  </si>
  <si>
    <t xml:space="preserve">Costo kit de alimentación (por persona)</t>
  </si>
  <si>
    <t xml:space="preserve">Real (prensa)</t>
  </si>
  <si>
    <t xml:space="preserve">F06: El Tiempo 14-ago-2026 (precio minorista D1)</t>
  </si>
  <si>
    <t xml:space="preserve">P26</t>
  </si>
  <si>
    <t xml:space="preserve">Costo kit de aseo (por persona)</t>
  </si>
  <si>
    <t xml:space="preserve">P27</t>
  </si>
  <si>
    <t xml:space="preserve">Ajuste por redondeo de v (P03 − P25 − P26)</t>
  </si>
  <si>
    <t xml:space="preserve">Calculado</t>
  </si>
  <si>
    <t xml:space="preserve">P03 = 60.000 es el redondeo declarado de 59.460 (+0,9 %)</t>
  </si>
  <si>
    <t xml:space="preserve">Sitios candidatos y costos – 17 candidatos + 1 reserva</t>
  </si>
  <si>
    <t xml:space="preserve">Candidatos pequeños (10 de 17): decisión adoptada por el grupo (excluirlos es solo una sensibilidad del notebook 02). Coordenadas DIVIPOLA (30-sep-2026) en la hoja Coordenadas; matriz final de distancias (OSRM + Google Maps en 164 pares) en Distancias_km.</t>
  </si>
  <si>
    <t xml:space="preserve">Identif.</t>
  </si>
  <si>
    <t xml:space="preserve">DIVIPOLA</t>
  </si>
  <si>
    <t xml:space="preserve">Municipio</t>
  </si>
  <si>
    <t xml:space="preserve">Departamento</t>
  </si>
  <si>
    <t xml:space="preserve">Rol</t>
  </si>
  <si>
    <t xml:space="preserve">Población DANE 2026</t>
  </si>
  <si>
    <t xml:space="preserve">NH (RUD)</t>
  </si>
  <si>
    <t xml:space="preserve">Personas registradas (RUD)</t>
  </si>
  <si>
    <t xml:space="preserve">% registrado</t>
  </si>
  <si>
    <t xml:space="preserve">Categoría</t>
  </si>
  <si>
    <t xml:space="preserve">Capacidad K_j</t>
  </si>
  <si>
    <t xml:space="preserve">Factor escala</t>
  </si>
  <si>
    <t xml:space="preserve">Costo fijo por plaza (T meses)</t>
  </si>
  <si>
    <t xml:space="preserve">Costo fijo f_j</t>
  </si>
  <si>
    <t xml:space="preserve">Costo variable v_j</t>
  </si>
  <si>
    <t xml:space="preserve">Filtros S2/S7</t>
  </si>
  <si>
    <t xml:space="preserve">C01</t>
  </si>
  <si>
    <t xml:space="preserve">76520</t>
  </si>
  <si>
    <t xml:space="preserve">Palmira</t>
  </si>
  <si>
    <t xml:space="preserve">Valle del Cauca</t>
  </si>
  <si>
    <t xml:space="preserve">Candidato</t>
  </si>
  <si>
    <t xml:space="preserve">C02</t>
  </si>
  <si>
    <t xml:space="preserve">76834</t>
  </si>
  <si>
    <t xml:space="preserve">Tuluá</t>
  </si>
  <si>
    <t xml:space="preserve">C03</t>
  </si>
  <si>
    <t xml:space="preserve">76364</t>
  </si>
  <si>
    <t xml:space="preserve">Jamundí</t>
  </si>
  <si>
    <t xml:space="preserve">C04</t>
  </si>
  <si>
    <t xml:space="preserve">76147</t>
  </si>
  <si>
    <t xml:space="preserve">Cartago</t>
  </si>
  <si>
    <t xml:space="preserve">C05</t>
  </si>
  <si>
    <t xml:space="preserve">76111</t>
  </si>
  <si>
    <t xml:space="preserve">Guadalajara de Buga</t>
  </si>
  <si>
    <t xml:space="preserve">C06</t>
  </si>
  <si>
    <t xml:space="preserve">76130</t>
  </si>
  <si>
    <t xml:space="preserve">Candelaria</t>
  </si>
  <si>
    <t xml:space="preserve">C07</t>
  </si>
  <si>
    <t xml:space="preserve">76892</t>
  </si>
  <si>
    <t xml:space="preserve">Yumbo</t>
  </si>
  <si>
    <t xml:space="preserve">C08</t>
  </si>
  <si>
    <t xml:space="preserve">76275</t>
  </si>
  <si>
    <t xml:space="preserve">Florida</t>
  </si>
  <si>
    <t xml:space="preserve">C09</t>
  </si>
  <si>
    <t xml:space="preserve">76248</t>
  </si>
  <si>
    <t xml:space="preserve">El Cerrito</t>
  </si>
  <si>
    <t xml:space="preserve">C10</t>
  </si>
  <si>
    <t xml:space="preserve">76563</t>
  </si>
  <si>
    <t xml:space="preserve">Pradera</t>
  </si>
  <si>
    <t xml:space="preserve">C11</t>
  </si>
  <si>
    <t xml:space="preserve">76318</t>
  </si>
  <si>
    <t xml:space="preserve">Guacarí</t>
  </si>
  <si>
    <t xml:space="preserve">C12</t>
  </si>
  <si>
    <t xml:space="preserve">76306</t>
  </si>
  <si>
    <t xml:space="preserve">Ginebra</t>
  </si>
  <si>
    <t xml:space="preserve">C13</t>
  </si>
  <si>
    <t xml:space="preserve">17174</t>
  </si>
  <si>
    <t xml:space="preserve">Chinchiná</t>
  </si>
  <si>
    <t xml:space="preserve">Caldas</t>
  </si>
  <si>
    <t xml:space="preserve">C14</t>
  </si>
  <si>
    <t xml:space="preserve">17777</t>
  </si>
  <si>
    <t xml:space="preserve">Supía</t>
  </si>
  <si>
    <t xml:space="preserve">C15</t>
  </si>
  <si>
    <t xml:space="preserve">17013</t>
  </si>
  <si>
    <t xml:space="preserve">Aguadas</t>
  </si>
  <si>
    <t xml:space="preserve">C16</t>
  </si>
  <si>
    <t xml:space="preserve">17541</t>
  </si>
  <si>
    <t xml:space="preserve">Pensilvania</t>
  </si>
  <si>
    <t xml:space="preserve">C17</t>
  </si>
  <si>
    <t xml:space="preserve">17380</t>
  </si>
  <si>
    <t xml:space="preserve">La Dorada</t>
  </si>
  <si>
    <t xml:space="preserve">Reserva (no entra al cálculo del presupuesto ni a los 17 candidatos base):</t>
  </si>
  <si>
    <t xml:space="preserve">R01</t>
  </si>
  <si>
    <t xml:space="preserve">63401</t>
  </si>
  <si>
    <t xml:space="preserve">La Tebaida</t>
  </si>
  <si>
    <t xml:space="preserve">Quindío</t>
  </si>
  <si>
    <t xml:space="preserve">Reserva</t>
  </si>
  <si>
    <t xml:space="preserve">Notas: (1) NH y personas registradas provienen del consolidado del RUD (corte 17-sep-2026), agregador secundario datosdelterremoto.org. (2) Población: DANE, Proyecciones municipales 2018-2042. (3) La Tebaida no cumple el filtro S7 (8,2%); se mantiene como reserva por su cercanía a Armenia.</t>
  </si>
  <si>
    <t xml:space="preserve">Presupuesto y escenarios (COP)</t>
  </si>
  <si>
    <t xml:space="preserve">Σ costo fijo de los 10 campamentos candidatos más grandes</t>
  </si>
  <si>
    <t xml:space="preserve">% del enunciado</t>
  </si>
  <si>
    <t xml:space="preserve">Presupuesto BASE</t>
  </si>
  <si>
    <t xml:space="preserve">Presupuesto escenario A (reducción P18)</t>
  </si>
  <si>
    <t xml:space="preserve">Presupuesto escenario B (reducción P19)</t>
  </si>
  <si>
    <t xml:space="preserve">Σ costo fijo de los 17 candidatos (abrir todos)</t>
  </si>
  <si>
    <t xml:space="preserve">Capacidad total de los 17 candidatos (personas)</t>
  </si>
  <si>
    <t xml:space="preserve">Presupuesto base / costo de abrir todos</t>
  </si>
  <si>
    <t xml:space="preserve">Sensibilidad del costo fijo por plaza-mes (c_f). Los costos fijos y el presupuesto escalan linealmente con c_f.</t>
  </si>
  <si>
    <t xml:space="preserve">c_f (COP/plaza-mes)</t>
  </si>
  <si>
    <t xml:space="preserve">Costo fijo Grande</t>
  </si>
  <si>
    <t xml:space="preserve">Costo fijo Intermedia</t>
  </si>
  <si>
    <t xml:space="preserve">Costo fijo Pequeña</t>
  </si>
  <si>
    <t xml:space="preserve">Presupuesto A</t>
  </si>
  <si>
    <t xml:space="preserve">Presupuesto B</t>
  </si>
  <si>
    <t xml:space="preserve">Nota: la fila con c_f = P01 reproduce el presupuesto base. El escalamiento lineal del presupuesto es válido porque todo costo fijo es proporcional a c_f.</t>
  </si>
  <si>
    <t xml:space="preserve">Puntos de demanda – 29 municipios (NH ≥ 400, corte RUD 17-sep-2026)</t>
  </si>
  <si>
    <t xml:space="preserve">Familias (RUD)</t>
  </si>
  <si>
    <t xml:space="preserve">Hogar RUD (pers/fam)</t>
  </si>
  <si>
    <t xml:space="preserve">Personas en NH</t>
  </si>
  <si>
    <t xml:space="preserve">d_i f=2%</t>
  </si>
  <si>
    <t xml:space="preserve">d_i f=5%</t>
  </si>
  <si>
    <t xml:space="preserve">d_i f=10% (BASE)</t>
  </si>
  <si>
    <t xml:space="preserve">d_i f=13%</t>
  </si>
  <si>
    <t xml:space="preserve">d_i f=10% hogar 3,0</t>
  </si>
  <si>
    <t xml:space="preserve">Calidad dato RUD</t>
  </si>
  <si>
    <t xml:space="preserve">66001</t>
  </si>
  <si>
    <t xml:space="preserve">Pereira</t>
  </si>
  <si>
    <t xml:space="preserve">Risaralda</t>
  </si>
  <si>
    <t xml:space="preserve">F</t>
  </si>
  <si>
    <t xml:space="preserve">76001</t>
  </si>
  <si>
    <t xml:space="preserve">Cali</t>
  </si>
  <si>
    <t xml:space="preserve">76109</t>
  </si>
  <si>
    <t xml:space="preserve">Buenaventura</t>
  </si>
  <si>
    <t xml:space="preserve">63001</t>
  </si>
  <si>
    <t xml:space="preserve">Armenia</t>
  </si>
  <si>
    <t xml:space="preserve">66170</t>
  </si>
  <si>
    <t xml:space="preserve">Dosquebradas</t>
  </si>
  <si>
    <t xml:space="preserve">17001</t>
  </si>
  <si>
    <t xml:space="preserve">Manizales</t>
  </si>
  <si>
    <t xml:space="preserve">66682</t>
  </si>
  <si>
    <t xml:space="preserve">Santa Rosa de Cabal</t>
  </si>
  <si>
    <t xml:space="preserve">R</t>
  </si>
  <si>
    <t xml:space="preserve">63594</t>
  </si>
  <si>
    <t xml:space="preserve">Quimbaya</t>
  </si>
  <si>
    <t xml:space="preserve">76233</t>
  </si>
  <si>
    <t xml:space="preserve">Dagua</t>
  </si>
  <si>
    <t xml:space="preserve">P</t>
  </si>
  <si>
    <t xml:space="preserve">63470</t>
  </si>
  <si>
    <t xml:space="preserve">Montenegro</t>
  </si>
  <si>
    <t xml:space="preserve">76622</t>
  </si>
  <si>
    <t xml:space="preserve">Roldanillo</t>
  </si>
  <si>
    <t xml:space="preserve">76890</t>
  </si>
  <si>
    <t xml:space="preserve">Yotoco</t>
  </si>
  <si>
    <t xml:space="preserve">76828</t>
  </si>
  <si>
    <t xml:space="preserve">Trujillo</t>
  </si>
  <si>
    <t xml:space="preserve">76054</t>
  </si>
  <si>
    <t xml:space="preserve">Argelia</t>
  </si>
  <si>
    <t xml:space="preserve">17873</t>
  </si>
  <si>
    <t xml:space="preserve">Villamaría</t>
  </si>
  <si>
    <t xml:space="preserve">76400</t>
  </si>
  <si>
    <t xml:space="preserve">La Unión</t>
  </si>
  <si>
    <t xml:space="preserve">76823</t>
  </si>
  <si>
    <t xml:space="preserve">Toro</t>
  </si>
  <si>
    <t xml:space="preserve">76606</t>
  </si>
  <si>
    <t xml:space="preserve">Restrepo</t>
  </si>
  <si>
    <t xml:space="preserve">76895</t>
  </si>
  <si>
    <t xml:space="preserve">Zarzal</t>
  </si>
  <si>
    <t xml:space="preserve">76736</t>
  </si>
  <si>
    <t xml:space="preserve">Sevilla</t>
  </si>
  <si>
    <t xml:space="preserve">76246</t>
  </si>
  <si>
    <t xml:space="preserve">El Cairo</t>
  </si>
  <si>
    <t xml:space="preserve">76041</t>
  </si>
  <si>
    <t xml:space="preserve">Ansermanuevo</t>
  </si>
  <si>
    <t xml:space="preserve">76377</t>
  </si>
  <si>
    <t xml:space="preserve">La Cumbre</t>
  </si>
  <si>
    <t xml:space="preserve">66400</t>
  </si>
  <si>
    <t xml:space="preserve">La Virginia</t>
  </si>
  <si>
    <t xml:space="preserve">76113</t>
  </si>
  <si>
    <t xml:space="preserve">Bugalagrande</t>
  </si>
  <si>
    <t xml:space="preserve">76616</t>
  </si>
  <si>
    <t xml:space="preserve">Riofrío</t>
  </si>
  <si>
    <t xml:space="preserve">76122</t>
  </si>
  <si>
    <t xml:space="preserve">Caicedonia</t>
  </si>
  <si>
    <t xml:space="preserve">63190</t>
  </si>
  <si>
    <t xml:space="preserve">Circasia</t>
  </si>
  <si>
    <t xml:space="preserve">63130</t>
  </si>
  <si>
    <t xml:space="preserve">Calarcá</t>
  </si>
  <si>
    <t xml:space="preserve">TOTAL</t>
  </si>
  <si>
    <t xml:space="preserve">Calidad del dato: F = fuerte (RUD y reporte territorial), P = parcial, R = solo RUD. Hogar RUD = personas registradas / familias registradas (puede subestimar el tamaño real).</t>
  </si>
  <si>
    <t xml:space="preserve">Coordenadas de cabeceras municipales (DIVIPOLA, DANE)</t>
  </si>
  <si>
    <t xml:space="preserve">id</t>
  </si>
  <si>
    <t xml:space="preserve">divipola</t>
  </si>
  <si>
    <t xml:space="preserve">municipio</t>
  </si>
  <si>
    <t xml:space="preserve">departamento</t>
  </si>
  <si>
    <t xml:space="preserve">tipo</t>
  </si>
  <si>
    <t xml:space="preserve">rol</t>
  </si>
  <si>
    <t xml:space="preserve">lat</t>
  </si>
  <si>
    <t xml:space="preserve">lon</t>
  </si>
  <si>
    <t xml:space="preserve">fuente_coord</t>
  </si>
  <si>
    <t xml:space="preserve">D66001</t>
  </si>
  <si>
    <t xml:space="preserve">demanda</t>
  </si>
  <si>
    <t xml:space="preserve">Afectado</t>
  </si>
  <si>
    <t xml:space="preserve">DIVIPOLA (DANE) datos.gov.co gdxc-w37w, consulta 30-sep-2026</t>
  </si>
  <si>
    <t xml:space="preserve">D76001</t>
  </si>
  <si>
    <t xml:space="preserve">D76109</t>
  </si>
  <si>
    <t xml:space="preserve">D63001</t>
  </si>
  <si>
    <t xml:space="preserve">D66170</t>
  </si>
  <si>
    <t xml:space="preserve">D17001</t>
  </si>
  <si>
    <t xml:space="preserve">D66682</t>
  </si>
  <si>
    <t xml:space="preserve">D63594</t>
  </si>
  <si>
    <t xml:space="preserve">D76233</t>
  </si>
  <si>
    <t xml:space="preserve">D63470</t>
  </si>
  <si>
    <t xml:space="preserve">D76622</t>
  </si>
  <si>
    <t xml:space="preserve">D76890</t>
  </si>
  <si>
    <t xml:space="preserve">D76828</t>
  </si>
  <si>
    <t xml:space="preserve">D76054</t>
  </si>
  <si>
    <t xml:space="preserve">D17873</t>
  </si>
  <si>
    <t xml:space="preserve">D76400</t>
  </si>
  <si>
    <t xml:space="preserve">D76823</t>
  </si>
  <si>
    <t xml:space="preserve">D76606</t>
  </si>
  <si>
    <t xml:space="preserve">D76895</t>
  </si>
  <si>
    <t xml:space="preserve">D76736</t>
  </si>
  <si>
    <t xml:space="preserve">D76246</t>
  </si>
  <si>
    <t xml:space="preserve">D76041</t>
  </si>
  <si>
    <t xml:space="preserve">D76377</t>
  </si>
  <si>
    <t xml:space="preserve">D66400</t>
  </si>
  <si>
    <t xml:space="preserve">D76113</t>
  </si>
  <si>
    <t xml:space="preserve">D76616</t>
  </si>
  <si>
    <t xml:space="preserve">D76122</t>
  </si>
  <si>
    <t xml:space="preserve">D63190</t>
  </si>
  <si>
    <t xml:space="preserve">D63130</t>
  </si>
  <si>
    <t xml:space="preserve">candidato</t>
  </si>
  <si>
    <t xml:space="preserve">Distancias por carretera d_ij (km) — MATRIZ FINAL usada por el modelo</t>
  </si>
  <si>
    <t xml:space="preserve">Celdas amarillas: valor de Google Maps (1-oct-2026). Resto: OSRM/OpenStreetMap (30-sep-2026). Costo de transporte = 500 COP × km × persona.</t>
  </si>
  <si>
    <t xml:space="preserve">id_demanda</t>
  </si>
  <si>
    <t xml:space="preserve">C01 Palmira</t>
  </si>
  <si>
    <t xml:space="preserve">C02 Tuluá</t>
  </si>
  <si>
    <t xml:space="preserve">C03 Jamundí</t>
  </si>
  <si>
    <t xml:space="preserve">C04 Cartago</t>
  </si>
  <si>
    <t xml:space="preserve">C05 Guadalajara de Buga</t>
  </si>
  <si>
    <t xml:space="preserve">C06 Candelaria</t>
  </si>
  <si>
    <t xml:space="preserve">C07 Yumbo</t>
  </si>
  <si>
    <t xml:space="preserve">C08 Florida</t>
  </si>
  <si>
    <t xml:space="preserve">C09 El Cerrito</t>
  </si>
  <si>
    <t xml:space="preserve">C10 Pradera</t>
  </si>
  <si>
    <t xml:space="preserve">C11 Guacarí</t>
  </si>
  <si>
    <t xml:space="preserve">C12 Ginebra</t>
  </si>
  <si>
    <t xml:space="preserve">C13 Chinchiná</t>
  </si>
  <si>
    <t xml:space="preserve">C14 Supía</t>
  </si>
  <si>
    <t xml:space="preserve">C15 Aguadas</t>
  </si>
  <si>
    <t xml:space="preserve">C16 Pensilvania</t>
  </si>
  <si>
    <t xml:space="preserve">C17 La Dorada</t>
  </si>
  <si>
    <t xml:space="preserve">R01 La Tebaida</t>
  </si>
  <si>
    <t xml:space="preserve">Distancias OSRM originales (km) — solo referencia; el modelo usa la hoja Distancias_km</t>
  </si>
  <si>
    <t xml:space="preserve">Alcance de cada sitio a ≤ 180 km</t>
  </si>
  <si>
    <t xml:space="preserve">demandas_a_180km</t>
  </si>
  <si>
    <t xml:space="preserve">demanda_base_a_180km</t>
  </si>
  <si>
    <t xml:space="preserve">dist_min_km</t>
  </si>
  <si>
    <t xml:space="preserve">municipios_a_180km</t>
  </si>
  <si>
    <t xml:space="preserve">pares_que_dependen_de_Google</t>
  </si>
  <si>
    <t xml:space="preserve">cumple_criterio_ciudad_cercana</t>
  </si>
  <si>
    <t xml:space="preserve">criterio_ciudad_cercana</t>
  </si>
  <si>
    <t xml:space="preserve">Cali, Buenaventura, Armenia, Dagua, Montenegro, Roldanillo, Yotoco, Trujillo, La Unión, Toro, Restrepo, Zarzal, Sevilla, Ansermanuevo, La Cumbre, Bugalagrande, Riofrío, Caicedonia, Circasia, Calarcá</t>
  </si>
  <si>
    <t xml:space="preserve">Sí</t>
  </si>
  <si>
    <t xml:space="preserve">≥ 1 municipio afectado a ≤ 180 km por carretera (matriz final)</t>
  </si>
  <si>
    <t xml:space="preserve">Pereira, Cali, Buenaventura, Armenia, Dosquebradas, Manizales, Santa Rosa de Cabal, Quimbaya, Dagua, Montenegro, Roldanillo, Yotoco, Trujillo, Argelia, Villamaría, La Unión, Toro, Restrepo, Zarzal, Sevilla, El Cairo, Ansermanuevo, La Cumbre, La Virginia, Bugalagrande, Riofrío, Caicedonia, Circasia, Calarcá</t>
  </si>
  <si>
    <t xml:space="preserve">Cali, Buenaventura, Dagua, Roldanillo, Yotoco, Trujillo, La Unión, Restrepo, Zarzal, Sevilla, La Cumbre, Bugalagrande, Riofrío</t>
  </si>
  <si>
    <t xml:space="preserve">Pereira, Armenia, Dosquebradas, Manizales, Santa Rosa de Cabal, Quimbaya, Montenegro, Roldanillo, Yotoco, Trujillo, Argelia, Villamaría, La Unión, Toro, Restrepo, Zarzal, Sevilla, El Cairo, Ansermanuevo, La Virginia, Bugalagrande, Riofrío, Caicedonia, Circasia, Calarcá</t>
  </si>
  <si>
    <t xml:space="preserve">Pereira, Cali, Buenaventura, Armenia, Dosquebradas, Santa Rosa de Cabal, Quimbaya, Dagua, Montenegro, Roldanillo, Yotoco, Trujillo, Argelia, La Unión, Toro, Restrepo, Zarzal, Sevilla, Ansermanuevo, La Cumbre, La Virginia, Bugalagrande, Riofrío, Caicedonia, Circasia, Calarcá</t>
  </si>
  <si>
    <t xml:space="preserve">Cali, Buenaventura, Armenia, Dagua, Montenegro, Roldanillo, Yotoco, Trujillo, La Unión, Toro, Restrepo, Zarzal, Sevilla, La Cumbre, Bugalagrande, Riofrío, Caicedonia</t>
  </si>
  <si>
    <t xml:space="preserve">Cali, Buenaventura, Armenia, Dagua, Montenegro, Roldanillo, Yotoco, Trujillo, La Unión, Toro, Restrepo, Zarzal, Sevilla, La Cumbre, Bugalagrande, Riofrío, Caicedonia, Calarcá</t>
  </si>
  <si>
    <t xml:space="preserve">Cali, Buenaventura, Dagua, Roldanillo, Yotoco, Trujillo, La Unión, Toro, Restrepo, Zarzal, Sevilla, La Cumbre, Bugalagrande, Riofrío, Caicedonia</t>
  </si>
  <si>
    <t xml:space="preserve">Pereira, Cali, Buenaventura, Armenia, Dosquebradas, Quimbaya, Dagua, Montenegro, Roldanillo, Yotoco, Trujillo, Argelia, La Unión, Toro, Restrepo, Zarzal, Sevilla, Ansermanuevo, La Cumbre, La Virginia, Bugalagrande, Riofrío, Caicedonia, Circasia, Calarcá</t>
  </si>
  <si>
    <t xml:space="preserve">Pereira, Cali, Buenaventura, Armenia, Dosquebradas, Quimbaya, Dagua, Montenegro, Roldanillo, Yotoco, Trujillo, La Unión, Toro, Restrepo, Zarzal, Sevilla, Ansermanuevo, La Cumbre, La Virginia, Bugalagrande, Riofrío, Caicedonia, Circasia, Calarcá</t>
  </si>
  <si>
    <t xml:space="preserve">Pereira, Armenia, Dosquebradas, Manizales, Santa Rosa de Cabal, Quimbaya, Montenegro, Roldanillo, Trujillo, Argelia, Villamaría, La Unión, Toro, Zarzal, Sevilla, El Cairo, Ansermanuevo, La Virginia, Bugalagrande, Riofrío, Caicedonia, Circasia, Calarcá</t>
  </si>
  <si>
    <t xml:space="preserve">Pereira, Armenia, Dosquebradas, Manizales, Santa Rosa de Cabal, Quimbaya, Montenegro, Roldanillo, Argelia, Villamaría, La Unión, Toro, Zarzal, El Cairo, Ansermanuevo, La Virginia, Caicedonia, Circasia, Calarcá</t>
  </si>
  <si>
    <t xml:space="preserve">Pereira, Dosquebradas, Manizales, Santa Rosa de Cabal, Villamaría, La Virginia</t>
  </si>
  <si>
    <t xml:space="preserve">Manizales, Santa Rosa de Cabal, Villamaría</t>
  </si>
  <si>
    <t xml:space="preserve">Manizales, Villamaría</t>
  </si>
  <si>
    <t xml:space="preserve">Pereira, Cali, Armenia, Dosquebradas, Manizales, Santa Rosa de Cabal, Quimbaya, Dagua, Montenegro, Roldanillo, Yotoco, Trujillo, Argelia, Villamaría, La Unión, Toro, Restrepo, Zarzal, Sevilla, El Cairo, Ansermanuevo, La Cumbre, La Virginia, Bugalagrande, Riofrío, Caicedonia, Circasia, Calarcá</t>
  </si>
  <si>
    <t xml:space="preserve">Verificación OSRM vs. Google Maps — COMPLETADA (164 pares, 1-oct-2026)</t>
  </si>
  <si>
    <t xml:space="preserve">Google Maps, modo carro, primera ruta sugerida. En la matriz final manda Google Maps en estos pares. Filas rojas: cambian la factibilidad a 180 km.</t>
  </si>
  <si>
    <t xml:space="preserve">id_sitio</t>
  </si>
  <si>
    <t xml:space="preserve">municipio_origen</t>
  </si>
  <si>
    <t xml:space="preserve">sitio_destino</t>
  </si>
  <si>
    <t xml:space="preserve">grupo</t>
  </si>
  <si>
    <t xml:space="preserve">km_OSRM</t>
  </si>
  <si>
    <t xml:space="preserve">km_Google_Maps</t>
  </si>
  <si>
    <t xml:space="preserve">km_linea_recta</t>
  </si>
  <si>
    <t xml:space="preserve">diferencia_km</t>
  </si>
  <si>
    <t xml:space="preserve">diferencia_pct</t>
  </si>
  <si>
    <t xml:space="preserve">factible_OSRM</t>
  </si>
  <si>
    <t xml:space="preserve">factible_Google</t>
  </si>
  <si>
    <t xml:space="preserve">cambia_factibilidad</t>
  </si>
  <si>
    <t xml:space="preserve">revisar_&gt;10%</t>
  </si>
  <si>
    <t xml:space="preserve">fecha_consulta</t>
  </si>
  <si>
    <t xml:space="preserve">url_consulta</t>
  </si>
  <si>
    <t xml:space="preserve">control</t>
  </si>
  <si>
    <t xml:space="preserve">2026-10-01</t>
  </si>
  <si>
    <t xml:space="preserve">https://www.google.com/maps/dir/4.804985,-75.719711/4.742192,-75.924374/data=!4m2!4m1!3e0?hl=es</t>
  </si>
  <si>
    <t xml:space="preserve">https://www.google.com/maps/dir/4.804985,-75.719711/4.985227,-75.607529/data=!4m2!4m1!3e0?hl=es</t>
  </si>
  <si>
    <t xml:space="preserve">https://www.google.com/maps/dir/4.535980,-75.680786/4.742192,-75.924374/data=!4m2!4m1!3e0?hl=es</t>
  </si>
  <si>
    <t xml:space="preserve">https://www.google.com/maps/dir/5.057657,-75.491025/4.985227,-75.607529/data=!4m2!4m1!3e0?hl=es</t>
  </si>
  <si>
    <t xml:space="preserve">https://www.google.com/maps/dir/3.413686,-76.521330/3.531544,-76.298846/data=!4m2!4m1!3e0?hl=es</t>
  </si>
  <si>
    <t xml:space="preserve">https://www.google.com/maps/dir/3.413686,-76.521330/3.258751,-76.538472/data=!4m2!4m1!3e0?hl=es</t>
  </si>
  <si>
    <t xml:space="preserve">https://www.google.com/maps/dir/3.875708,-77.010740/3.900736,-76.298979/data=!4m2!4m1!3e0?hl=es</t>
  </si>
  <si>
    <t xml:space="preserve">https://www.google.com/maps/dir/4.804985,-75.719711/4.085399,-76.197731/data=!4m2!4m1!3e0?hl=es</t>
  </si>
  <si>
    <t xml:space="preserve">https://www.google.com/maps/dir/4.804985,-75.719711/5.460834,-74.668819/data=!4m2!4m1!3e0?hl=es</t>
  </si>
  <si>
    <t xml:space="preserve">https://www.google.com/maps/dir/4.833131,-75.675371/5.460834,-74.668819/data=!4m2!4m1!3e0?hl=es</t>
  </si>
  <si>
    <t xml:space="preserve">https://www.google.com/maps/dir/4.876271,-75.623268/5.460834,-74.668819/data=!4m2!4m1!3e0?hl=es</t>
  </si>
  <si>
    <t xml:space="preserve">https://www.google.com/maps/dir/5.057657,-75.491025/5.383281,-75.160299/data=!4m2!4m1!3e0?hl=es</t>
  </si>
  <si>
    <t xml:space="preserve">https://www.google.com/maps/dir/5.038925,-75.502487/5.383281,-75.160299/data=!4m2!4m1!3e0?hl=es</t>
  </si>
  <si>
    <t xml:space="preserve">https://www.google.com/maps/dir/3.413686,-76.521330/4.085399,-76.197731/data=!4m2!4m1!3e0?hl=es</t>
  </si>
  <si>
    <t xml:space="preserve">https://www.google.com/maps/dir/3.875708,-77.010740/3.531544,-76.298846/data=!4m2!4m1!3e0?hl=es</t>
  </si>
  <si>
    <t xml:space="preserve">https://www.google.com/maps/dir/4.535980,-75.680786/4.085399,-76.197731/data=!4m2!4m1!3e0?hl=es</t>
  </si>
  <si>
    <t xml:space="preserve">banda_160_230</t>
  </si>
  <si>
    <t xml:space="preserve">https://www.google.com/maps/dir/4.804985,-75.719711/3.531544,-76.298846/data=!4m2!4m1!3e0?hl=es</t>
  </si>
  <si>
    <t xml:space="preserve">https://www.google.com/maps/dir/4.804985,-75.719711/3.258751,-76.538472/data=!4m2!4m1!3e0?hl=es</t>
  </si>
  <si>
    <t xml:space="preserve">https://www.google.com/maps/dir/4.804985,-75.719711/3.408354,-76.346519/data=!4m2!4m1!3e0?hl=es</t>
  </si>
  <si>
    <t xml:space="preserve">https://www.google.com/maps/dir/4.804985,-75.719711/3.540097,-76.499893/data=!4m2!4m1!3e0?hl=es</t>
  </si>
  <si>
    <t xml:space="preserve">https://www.google.com/maps/dir/4.804985,-75.719711/3.324118,-76.234199/data=!4m2!4m1!3e0?hl=es</t>
  </si>
  <si>
    <t xml:space="preserve">https://www.google.com/maps/dir/4.804985,-75.719711/3.684229,-76.311972/data=!4m2!4m1!3e0?hl=es</t>
  </si>
  <si>
    <t xml:space="preserve">https://www.google.com/maps/dir/4.804985,-75.719711/3.419793,-76.241799/data=!4m2!4m1!3e0?hl=es</t>
  </si>
  <si>
    <t xml:space="preserve">https://www.google.com/maps/dir/4.804985,-75.719711/3.724181,-76.268068/data=!4m2!4m1!3e0?hl=es</t>
  </si>
  <si>
    <t xml:space="preserve">https://www.google.com/maps/dir/4.804985,-75.719711/5.610244,-75.454870/data=!4m2!4m1!3e0?hl=es</t>
  </si>
  <si>
    <t xml:space="preserve">https://www.google.com/maps/dir/4.804985,-75.719711/5.383281,-75.160299/data=!4m2!4m1!3e0?hl=es</t>
  </si>
  <si>
    <t xml:space="preserve">https://www.google.com/maps/dir/3.413686,-76.521330/4.742192,-75.924374/data=!4m2!4m1!3e0?hl=es</t>
  </si>
  <si>
    <t xml:space="preserve">https://www.google.com/maps/dir/3.413686,-76.521330/4.453755,-75.786887/data=!4m2!4m1!3e0?hl=es</t>
  </si>
  <si>
    <t xml:space="preserve">https://www.google.com/maps/dir/3.875708,-77.010740/4.742192,-75.924374/data=!4m2!4m1!3e0?hl=es</t>
  </si>
  <si>
    <t xml:space="preserve">https://www.google.com/maps/dir/3.875708,-77.010740/3.419793,-76.241799/data=!4m2!4m1!3e0?hl=es</t>
  </si>
  <si>
    <t xml:space="preserve">https://www.google.com/maps/dir/3.875708,-77.010740/4.453755,-75.786887/data=!4m2!4m1!3e0?hl=es</t>
  </si>
  <si>
    <t xml:space="preserve">https://www.google.com/maps/dir/4.535980,-75.680786/3.531544,-76.298846/data=!4m2!4m1!3e0?hl=es</t>
  </si>
  <si>
    <t xml:space="preserve">https://www.google.com/maps/dir/4.535980,-75.680786/3.258751,-76.538472/data=!4m2!4m1!3e0?hl=es</t>
  </si>
  <si>
    <t xml:space="preserve">https://www.google.com/maps/dir/4.535980,-75.680786/3.408354,-76.346519/data=!4m2!4m1!3e0?hl=es</t>
  </si>
  <si>
    <t xml:space="preserve">https://www.google.com/maps/dir/4.535980,-75.680786/3.540097,-76.499893/data=!4m2!4m1!3e0?hl=es</t>
  </si>
  <si>
    <t xml:space="preserve">https://www.google.com/maps/dir/4.535980,-75.680786/3.324118,-76.234199/data=!4m2!4m1!3e0?hl=es</t>
  </si>
  <si>
    <t xml:space="preserve">https://www.google.com/maps/dir/4.535980,-75.680786/3.419793,-76.241799/data=!4m2!4m1!3e0?hl=es</t>
  </si>
  <si>
    <t xml:space="preserve">https://www.google.com/maps/dir/4.535980,-75.680786/5.610244,-75.454870/data=!4m2!4m1!3e0?hl=es</t>
  </si>
  <si>
    <t xml:space="preserve">https://www.google.com/maps/dir/4.833131,-75.675371/3.531544,-76.298846/data=!4m2!4m1!3e0?hl=es</t>
  </si>
  <si>
    <t xml:space="preserve">https://www.google.com/maps/dir/4.833131,-75.675371/3.408354,-76.346519/data=!4m2!4m1!3e0?hl=es</t>
  </si>
  <si>
    <t xml:space="preserve">https://www.google.com/maps/dir/4.833131,-75.675371/3.540097,-76.499893/data=!4m2!4m1!3e0?hl=es</t>
  </si>
  <si>
    <t xml:space="preserve">https://www.google.com/maps/dir/4.833131,-75.675371/3.324118,-76.234199/data=!4m2!4m1!3e0?hl=es</t>
  </si>
  <si>
    <t xml:space="preserve">https://www.google.com/maps/dir/4.833131,-75.675371/3.684229,-76.311972/data=!4m2!4m1!3e0?hl=es</t>
  </si>
  <si>
    <t xml:space="preserve">https://www.google.com/maps/dir/4.833131,-75.675371/3.419793,-76.241799/data=!4m2!4m1!3e0?hl=es</t>
  </si>
  <si>
    <t xml:space="preserve">https://www.google.com/maps/dir/4.833131,-75.675371/3.761815,-76.330911/data=!4m2!4m1!3e0?hl=es</t>
  </si>
  <si>
    <t xml:space="preserve">https://www.google.com/maps/dir/4.833131,-75.675371/3.724181,-76.268068/data=!4m2!4m1!3e0?hl=es</t>
  </si>
  <si>
    <t xml:space="preserve">https://www.google.com/maps/dir/4.833131,-75.675371/5.610244,-75.454870/data=!4m2!4m1!3e0?hl=es</t>
  </si>
  <si>
    <t xml:space="preserve">https://www.google.com/maps/dir/4.833131,-75.675371/5.383281,-75.160299/data=!4m2!4m1!3e0?hl=es</t>
  </si>
  <si>
    <t xml:space="preserve">https://www.google.com/maps/dir/5.057657,-75.491025/4.085399,-76.197731/data=!4m2!4m1!3e0?hl=es</t>
  </si>
  <si>
    <t xml:space="preserve">https://www.google.com/maps/dir/5.057657,-75.491025/3.900736,-76.298979/data=!4m2!4m1!3e0?hl=es</t>
  </si>
  <si>
    <t xml:space="preserve">https://www.google.com/maps/dir/5.057657,-75.491025/3.684229,-76.311972/data=!4m2!4m1!3e0?hl=es</t>
  </si>
  <si>
    <t xml:space="preserve">https://www.google.com/maps/dir/5.057657,-75.491025/3.761815,-76.330911/data=!4m2!4m1!3e0?hl=es</t>
  </si>
  <si>
    <t xml:space="preserve">https://www.google.com/maps/dir/5.057657,-75.491025/3.724181,-76.268068/data=!4m2!4m1!3e0?hl=es</t>
  </si>
  <si>
    <t xml:space="preserve">https://www.google.com/maps/dir/5.057657,-75.491025/5.460834,-74.668819/data=!4m2!4m1!3e0?hl=es</t>
  </si>
  <si>
    <t xml:space="preserve">https://www.google.com/maps/dir/4.876271,-75.623268/3.531544,-76.298846/data=!4m2!4m1!3e0?hl=es</t>
  </si>
  <si>
    <t xml:space="preserve">https://www.google.com/maps/dir/4.876271,-75.623268/3.408354,-76.346519/data=!4m2!4m1!3e0?hl=es</t>
  </si>
  <si>
    <t xml:space="preserve">https://www.google.com/maps/dir/4.876271,-75.623268/3.540097,-76.499893/data=!4m2!4m1!3e0?hl=es</t>
  </si>
  <si>
    <t xml:space="preserve">https://www.google.com/maps/dir/4.876271,-75.623268/3.684229,-76.311972/data=!4m2!4m1!3e0?hl=es</t>
  </si>
  <si>
    <t xml:space="preserve">https://www.google.com/maps/dir/4.876271,-75.623268/3.419793,-76.241799/data=!4m2!4m1!3e0?hl=es</t>
  </si>
  <si>
    <t xml:space="preserve">https://www.google.com/maps/dir/4.876271,-75.623268/3.761815,-76.330911/data=!4m2!4m1!3e0?hl=es</t>
  </si>
  <si>
    <t xml:space="preserve">https://www.google.com/maps/dir/4.876271,-75.623268/3.724181,-76.268068/data=!4m2!4m1!3e0?hl=es</t>
  </si>
  <si>
    <t xml:space="preserve">https://www.google.com/maps/dir/4.876271,-75.623268/5.383281,-75.160299/data=!4m2!4m1!3e0?hl=es</t>
  </si>
  <si>
    <t xml:space="preserve">https://www.google.com/maps/dir/4.624387,-75.765074/3.531544,-76.298846/data=!4m2!4m1!3e0?hl=es</t>
  </si>
  <si>
    <t xml:space="preserve">https://www.google.com/maps/dir/4.624387,-75.765074/3.258751,-76.538472/data=!4m2!4m1!3e0?hl=es</t>
  </si>
  <si>
    <t xml:space="preserve">https://www.google.com/maps/dir/4.624387,-75.765074/3.408354,-76.346519/data=!4m2!4m1!3e0?hl=es</t>
  </si>
  <si>
    <t xml:space="preserve">https://www.google.com/maps/dir/4.624387,-75.765074/3.540097,-76.499893/data=!4m2!4m1!3e0?hl=es</t>
  </si>
  <si>
    <t xml:space="preserve">https://www.google.com/maps/dir/4.624387,-75.765074/3.324118,-76.234199/data=!4m2!4m1!3e0?hl=es</t>
  </si>
  <si>
    <t xml:space="preserve">https://www.google.com/maps/dir/4.624387,-75.765074/3.684229,-76.311972/data=!4m2!4m1!3e0?hl=es</t>
  </si>
  <si>
    <t xml:space="preserve">https://www.google.com/maps/dir/4.624387,-75.765074/3.419793,-76.241799/data=!4m2!4m1!3e0?hl=es</t>
  </si>
  <si>
    <t xml:space="preserve">https://www.google.com/maps/dir/4.624387,-75.765074/3.724181,-76.268068/data=!4m2!4m1!3e0?hl=es</t>
  </si>
  <si>
    <t xml:space="preserve">https://www.google.com/maps/dir/4.624387,-75.765074/5.610244,-75.454870/data=!4m2!4m1!3e0?hl=es</t>
  </si>
  <si>
    <t xml:space="preserve">https://www.google.com/maps/dir/4.624387,-75.765074/5.383281,-75.160299/data=!4m2!4m1!3e0?hl=es</t>
  </si>
  <si>
    <t xml:space="preserve">https://www.google.com/maps/dir/3.657318,-76.688860/4.742192,-75.924374/data=!4m2!4m1!3e0?hl=es</t>
  </si>
  <si>
    <t xml:space="preserve">https://www.google.com/maps/dir/3.657318,-76.688860/4.453755,-75.786887/data=!4m2!4m1!3e0?hl=es</t>
  </si>
  <si>
    <t xml:space="preserve">https://www.google.com/maps/dir/4.565057,-75.749827/3.531544,-76.298846/data=!4m2!4m1!3e0?hl=es</t>
  </si>
  <si>
    <t xml:space="preserve">https://www.google.com/maps/dir/4.565057,-75.749827/3.258751,-76.538472/data=!4m2!4m1!3e0?hl=es</t>
  </si>
  <si>
    <t xml:space="preserve">https://www.google.com/maps/dir/4.565057,-75.749827/3.408354,-76.346519/data=!4m2!4m1!3e0?hl=es</t>
  </si>
  <si>
    <t xml:space="preserve">https://www.google.com/maps/dir/4.565057,-75.749827/3.540097,-76.499893/data=!4m2!4m1!3e0?hl=es</t>
  </si>
  <si>
    <t xml:space="preserve">https://www.google.com/maps/dir/4.565057,-75.749827/3.324118,-76.234199/data=!4m2!4m1!3e0?hl=es</t>
  </si>
  <si>
    <t xml:space="preserve">https://www.google.com/maps/dir/4.565057,-75.749827/3.419793,-76.241799/data=!4m2!4m1!3e0?hl=es</t>
  </si>
  <si>
    <t xml:space="preserve">https://www.google.com/maps/dir/4.565057,-75.749827/5.610244,-75.454870/data=!4m2!4m1!3e0?hl=es</t>
  </si>
  <si>
    <t xml:space="preserve">https://www.google.com/maps/dir/4.413601,-76.152277/5.446843,-75.649660/data=!4m2!4m1!3e0?hl=es</t>
  </si>
  <si>
    <t xml:space="preserve">https://www.google.com/maps/dir/3.861241,-76.382698/4.985227,-75.607529/data=!4m2!4m1!3e0?hl=es</t>
  </si>
  <si>
    <t xml:space="preserve">https://www.google.com/maps/dir/4.212037,-76.318818/4.985227,-75.607529/data=!4m2!4m1!3e0?hl=es</t>
  </si>
  <si>
    <t xml:space="preserve">https://www.google.com/maps/dir/4.212037,-76.318818/5.446843,-75.649660/data=!4m2!4m1!3e0?hl=es</t>
  </si>
  <si>
    <t xml:space="preserve">https://www.google.com/maps/dir/4.726945,-76.119905/3.531544,-76.298846/data=!4m2!4m1!3e0?hl=es</t>
  </si>
  <si>
    <t xml:space="preserve">https://www.google.com/maps/dir/4.726945,-76.119905/3.408354,-76.346519/data=!4m2!4m1!3e0?hl=es</t>
  </si>
  <si>
    <t xml:space="preserve">https://www.google.com/maps/dir/4.726945,-76.119905/3.540097,-76.499893/data=!4m2!4m1!3e0?hl=es</t>
  </si>
  <si>
    <t xml:space="preserve">https://www.google.com/maps/dir/4.726945,-76.119905/3.324118,-76.234199/data=!4m2!4m1!3e0?hl=es</t>
  </si>
  <si>
    <t xml:space="preserve">https://www.google.com/maps/dir/4.726945,-76.119905/3.684229,-76.311972/data=!4m2!4m1!3e0?hl=es</t>
  </si>
  <si>
    <t xml:space="preserve">https://www.google.com/maps/dir/4.726945,-76.119905/3.419793,-76.241799/data=!4m2!4m1!3e0?hl=es</t>
  </si>
  <si>
    <t xml:space="preserve">https://www.google.com/maps/dir/4.726945,-76.119905/3.761815,-76.330911/data=!4m2!4m1!3e0?hl=es</t>
  </si>
  <si>
    <t xml:space="preserve">https://www.google.com/maps/dir/4.726945,-76.119905/3.724181,-76.268068/data=!4m2!4m1!3e0?hl=es</t>
  </si>
  <si>
    <t xml:space="preserve">https://www.google.com/maps/dir/4.726945,-76.119905/5.610244,-75.454870/data=!4m2!4m1!3e0?hl=es</t>
  </si>
  <si>
    <t xml:space="preserve">https://www.google.com/maps/dir/5.038925,-75.502487/4.085399,-76.197731/data=!4m2!4m1!3e0?hl=es</t>
  </si>
  <si>
    <t xml:space="preserve">https://www.google.com/maps/dir/5.038925,-75.502487/3.900736,-76.298979/data=!4m2!4m1!3e0?hl=es</t>
  </si>
  <si>
    <t xml:space="preserve">https://www.google.com/maps/dir/5.038925,-75.502487/3.684229,-76.311972/data=!4m2!4m1!3e0?hl=es</t>
  </si>
  <si>
    <t xml:space="preserve">https://www.google.com/maps/dir/5.038925,-75.502487/3.761815,-76.330911/data=!4m2!4m1!3e0?hl=es</t>
  </si>
  <si>
    <t xml:space="preserve">https://www.google.com/maps/dir/5.038925,-75.502487/3.724181,-76.268068/data=!4m2!4m1!3e0?hl=es</t>
  </si>
  <si>
    <t xml:space="preserve">https://www.google.com/maps/dir/5.038925,-75.502487/5.460834,-74.668819/data=!4m2!4m1!3e0?hl=es</t>
  </si>
  <si>
    <t xml:space="preserve">https://www.google.com/maps/dir/4.533869,-76.099661/3.258751,-76.538472/data=!4m2!4m1!3e0?hl=es</t>
  </si>
  <si>
    <t xml:space="preserve">https://www.google.com/maps/dir/4.533869,-76.099661/3.324118,-76.234199/data=!4m2!4m1!3e0?hl=es</t>
  </si>
  <si>
    <t xml:space="preserve">https://www.google.com/maps/dir/4.533869,-76.099661/5.610244,-75.454870/data=!4m2!4m1!3e0?hl=es</t>
  </si>
  <si>
    <t xml:space="preserve">https://www.google.com/maps/dir/4.608085,-76.076859/3.258751,-76.538472/data=!4m2!4m1!3e0?hl=es</t>
  </si>
  <si>
    <t xml:space="preserve">https://www.google.com/maps/dir/4.608085,-76.076859/3.324118,-76.234199/data=!4m2!4m1!3e0?hl=es</t>
  </si>
  <si>
    <t xml:space="preserve">https://www.google.com/maps/dir/4.608085,-76.076859/3.419793,-76.241799/data=!4m2!4m1!3e0?hl=es</t>
  </si>
  <si>
    <t xml:space="preserve">https://www.google.com/maps/dir/4.608085,-76.076859/5.610244,-75.454870/data=!4m2!4m1!3e0?hl=es</t>
  </si>
  <si>
    <t xml:space="preserve">https://www.google.com/maps/dir/3.821351,-76.523329/4.985227,-75.607529/data=!4m2!4m1!3e0?hl=es</t>
  </si>
  <si>
    <t xml:space="preserve">https://www.google.com/maps/dir/4.392658,-76.070795/5.446843,-75.649660/data=!4m2!4m1!3e0?hl=es</t>
  </si>
  <si>
    <t xml:space="preserve">https://www.google.com/maps/dir/4.392658,-76.070795/5.610244,-75.454870/data=!4m2!4m1!3e0?hl=es</t>
  </si>
  <si>
    <t xml:space="preserve">https://www.google.com/maps/dir/4.270714,-75.931629/3.258751,-76.538472/data=!4m2!4m1!3e0?hl=es</t>
  </si>
  <si>
    <t xml:space="preserve">https://www.google.com/maps/dir/4.270714,-75.931629/5.446843,-75.649660/data=!4m2!4m1!3e0?hl=es</t>
  </si>
  <si>
    <t xml:space="preserve">https://www.google.com/maps/dir/4.760874,-76.221611/3.531544,-76.298846/data=!4m2!4m1!3e0?hl=es</t>
  </si>
  <si>
    <t xml:space="preserve">https://www.google.com/maps/dir/4.760874,-76.221611/3.900736,-76.298979/data=!4m2!4m1!3e0?hl=es</t>
  </si>
  <si>
    <t xml:space="preserve">https://www.google.com/maps/dir/4.760874,-76.221611/3.684229,-76.311972/data=!4m2!4m1!3e0?hl=es</t>
  </si>
  <si>
    <t xml:space="preserve">https://www.google.com/maps/dir/4.760874,-76.221611/3.761815,-76.330911/data=!4m2!4m1!3e0?hl=es</t>
  </si>
  <si>
    <t xml:space="preserve">https://www.google.com/maps/dir/4.760874,-76.221611/3.724181,-76.268068/data=!4m2!4m1!3e0?hl=es</t>
  </si>
  <si>
    <t xml:space="preserve">https://www.google.com/maps/dir/4.760874,-76.221611/5.446843,-75.649660/data=!4m2!4m1!3e0?hl=es</t>
  </si>
  <si>
    <t xml:space="preserve">https://www.google.com/maps/dir/4.794984,-75.992003/3.531544,-76.298846/data=!4m2!4m1!3e0?hl=es</t>
  </si>
  <si>
    <t xml:space="preserve">https://www.google.com/maps/dir/4.794984,-75.992003/3.258751,-76.538472/data=!4m2!4m1!3e0?hl=es</t>
  </si>
  <si>
    <t xml:space="preserve">https://www.google.com/maps/dir/4.794984,-75.992003/3.408354,-76.346519/data=!4m2!4m1!3e0?hl=es</t>
  </si>
  <si>
    <t xml:space="preserve">https://www.google.com/maps/dir/4.794984,-75.992003/3.540097,-76.499893/data=!4m2!4m1!3e0?hl=es</t>
  </si>
  <si>
    <t xml:space="preserve">https://www.google.com/maps/dir/4.794984,-75.992003/3.324118,-76.234199/data=!4m2!4m1!3e0?hl=es</t>
  </si>
  <si>
    <t xml:space="preserve">https://www.google.com/maps/dir/4.794984,-75.992003/3.419793,-76.241799/data=!4m2!4m1!3e0?hl=es</t>
  </si>
  <si>
    <t xml:space="preserve">https://www.google.com/maps/dir/4.794984,-75.992003/5.610244,-75.454870/data=!4m2!4m1!3e0?hl=es</t>
  </si>
  <si>
    <t xml:space="preserve">https://www.google.com/maps/dir/3.649268,-76.568050/4.742192,-75.924374/data=!4m2!4m1!3e0?hl=es</t>
  </si>
  <si>
    <t xml:space="preserve">https://www.google.com/maps/dir/3.649268,-76.568050/4.453755,-75.786887/data=!4m2!4m1!3e0?hl=es</t>
  </si>
  <si>
    <t xml:space="preserve">https://www.google.com/maps/dir/4.896624,-75.880394/3.531544,-76.298846/data=!4m2!4m1!3e0?hl=es</t>
  </si>
  <si>
    <t xml:space="preserve">https://www.google.com/maps/dir/4.896624,-75.880394/3.258751,-76.538472/data=!4m2!4m1!3e0?hl=es</t>
  </si>
  <si>
    <t xml:space="preserve">https://www.google.com/maps/dir/4.896624,-75.880394/3.408354,-76.346519/data=!4m2!4m1!3e0?hl=es</t>
  </si>
  <si>
    <t xml:space="preserve">https://www.google.com/maps/dir/4.896624,-75.880394/3.540097,-76.499893/data=!4m2!4m1!3e0?hl=es</t>
  </si>
  <si>
    <t xml:space="preserve">https://www.google.com/maps/dir/4.896624,-75.880394/3.324118,-76.234199/data=!4m2!4m1!3e0?hl=es</t>
  </si>
  <si>
    <t xml:space="preserve">https://www.google.com/maps/dir/4.896624,-75.880394/3.684229,-76.311972/data=!4m2!4m1!3e0?hl=es</t>
  </si>
  <si>
    <t xml:space="preserve">https://www.google.com/maps/dir/4.896624,-75.880394/3.419793,-76.241799/data=!4m2!4m1!3e0?hl=es</t>
  </si>
  <si>
    <t xml:space="preserve">https://www.google.com/maps/dir/4.896624,-75.880394/3.724181,-76.268068/data=!4m2!4m1!3e0?hl=es</t>
  </si>
  <si>
    <t xml:space="preserve">https://www.google.com/maps/dir/4.208358,-76.156820/5.446843,-75.649660/data=!4m2!4m1!3e0?hl=es</t>
  </si>
  <si>
    <t xml:space="preserve">https://www.google.com/maps/dir/4.156908,-76.288313/5.446843,-75.649660/data=!4m2!4m1!3e0?hl=es</t>
  </si>
  <si>
    <t xml:space="preserve">https://www.google.com/maps/dir/4.334808,-75.830594/3.258751,-76.538472/data=!4m2!4m1!3e0?hl=es</t>
  </si>
  <si>
    <t xml:space="preserve">https://www.google.com/maps/dir/4.334808,-75.830594/3.324118,-76.234199/data=!4m2!4m1!3e0?hl=es</t>
  </si>
  <si>
    <t xml:space="preserve">https://www.google.com/maps/dir/4.334808,-75.830594/3.419793,-76.241799/data=!4m2!4m1!3e0?hl=es</t>
  </si>
  <si>
    <t xml:space="preserve">https://www.google.com/maps/dir/4.334808,-75.830594/5.446843,-75.649660/data=!4m2!4m1!3e0?hl=es</t>
  </si>
  <si>
    <t xml:space="preserve">https://www.google.com/maps/dir/4.617759,-75.636533/3.531544,-76.298846/data=!4m2!4m1!3e0?hl=es</t>
  </si>
  <si>
    <t xml:space="preserve">https://www.google.com/maps/dir/4.617759,-75.636533/3.258751,-76.538472/data=!4m2!4m1!3e0?hl=es</t>
  </si>
  <si>
    <t xml:space="preserve">https://www.google.com/maps/dir/4.617759,-75.636533/3.408354,-76.346519/data=!4m2!4m1!3e0?hl=es</t>
  </si>
  <si>
    <t xml:space="preserve">https://www.google.com/maps/dir/4.617759,-75.636533/3.540097,-76.499893/data=!4m2!4m1!3e0?hl=es</t>
  </si>
  <si>
    <t xml:space="preserve">https://www.google.com/maps/dir/4.617759,-75.636533/3.324118,-76.234199/data=!4m2!4m1!3e0?hl=es</t>
  </si>
  <si>
    <t xml:space="preserve">https://www.google.com/maps/dir/4.617759,-75.636533/3.419793,-76.241799/data=!4m2!4m1!3e0?hl=es</t>
  </si>
  <si>
    <t xml:space="preserve">https://www.google.com/maps/dir/4.617759,-75.636533/5.610244,-75.454870/data=!4m2!4m1!3e0?hl=es</t>
  </si>
  <si>
    <t xml:space="preserve">https://www.google.com/maps/dir/4.520982,-75.646085/3.531544,-76.298846/data=!4m2!4m1!3e0?hl=es</t>
  </si>
  <si>
    <t xml:space="preserve">https://www.google.com/maps/dir/4.520982,-75.646085/3.258751,-76.538472/data=!4m2!4m1!3e0?hl=es</t>
  </si>
  <si>
    <t xml:space="preserve">https://www.google.com/maps/dir/4.520982,-75.646085/3.408354,-76.346519/data=!4m2!4m1!3e0?hl=es</t>
  </si>
  <si>
    <t xml:space="preserve">https://www.google.com/maps/dir/4.520982,-75.646085/3.540097,-76.499893/data=!4m2!4m1!3e0?hl=es</t>
  </si>
  <si>
    <t xml:space="preserve">https://www.google.com/maps/dir/4.520982,-75.646085/3.324118,-76.234199/data=!4m2!4m1!3e0?hl=es</t>
  </si>
  <si>
    <t xml:space="preserve">https://www.google.com/maps/dir/4.520982,-75.646085/3.419793,-76.241799/data=!4m2!4m1!3e0?hl=es</t>
  </si>
  <si>
    <t xml:space="preserve">https://www.google.com/maps/dir/4.520982,-75.646085/5.610244,-75.454870/data=!4m2!4m1!3e0?hl=es</t>
  </si>
  <si>
    <t xml:space="preserve">ruta_montaña_&gt;230km</t>
  </si>
  <si>
    <t xml:space="preserve">https://www.google.com/maps/dir/4.520982,-75.646085/5.460834,-74.668819/data=!4m2!4m1!3e0?hl=es</t>
  </si>
  <si>
    <t xml:space="preserve">https://www.google.com/maps/dir/4.535980,-75.680786/5.460834,-74.668819/data=!4m2!4m1!3e0?hl=es</t>
  </si>
  <si>
    <t xml:space="preserve">https://www.google.com/maps/dir/4.617759,-75.636533/5.460834,-74.668819/data=!4m2!4m1!3e0?hl=es</t>
  </si>
  <si>
    <t xml:space="preserve">https://www.google.com/maps/dir/4.565057,-75.749827/5.460834,-74.668819/data=!4m2!4m1!3e0?hl=es</t>
  </si>
  <si>
    <t xml:space="preserve">https://www.google.com/maps/dir/4.896624,-75.880394/5.383281,-75.160299/data=!4m2!4m1!3e0?hl=es</t>
  </si>
  <si>
    <t xml:space="preserve">https://www.google.com/maps/dir/4.760874,-76.221611/5.610244,-75.454870/data=!4m2!4m1!3e0?hl=es</t>
  </si>
  <si>
    <t xml:space="preserve">https://www.google.com/maps/dir/4.413601,-76.152277/5.610244,-75.454870/data=!4m2!4m1!3e0?hl=es</t>
  </si>
  <si>
    <t xml:space="preserve">https://www.google.com/maps/dir/3.861241,-76.382698/5.446843,-75.649660/data=!4m2!4m1!3e0?hl=es</t>
  </si>
  <si>
    <t xml:space="preserve">https://www.google.com/maps/dir/4.208358,-76.156820/5.610244,-75.454870/data=!4m2!4m1!3e0?hl=es</t>
  </si>
  <si>
    <t xml:space="preserve">Fuentes de datos (IDs ordenados; estado de verificación al 5-oct-2026)</t>
  </si>
  <si>
    <t xml:space="preserve">Una fuente que no se pudo abrir se marca 'No verificada'. Referencias completas en docs/bibliografia.md.</t>
  </si>
  <si>
    <t xml:space="preserve">Fuente</t>
  </si>
  <si>
    <t xml:space="preserve">URL</t>
  </si>
  <si>
    <t xml:space="preserve">Uso en el proyecto</t>
  </si>
  <si>
    <t xml:space="preserve">Verificación</t>
  </si>
  <si>
    <t xml:space="preserve">F01</t>
  </si>
  <si>
    <t xml:space="preserve">UNGRD — Registro Único de Damnificados (RUD) del terremoto del 10-ago-2026, consolidado por municipio, corte 17-sep-2026, consultado a través del agregador secundario datosdelterremoto.org</t>
  </si>
  <si>
    <t xml:space="preserve">https://datosdelterremoto.org</t>
  </si>
  <si>
    <t xml:space="preserve">Dato oficial vía agregador secundario</t>
  </si>
  <si>
    <t xml:space="preserve">NH, familias y personas registradas (demanda d_i y filtros S1, S2, S7)</t>
  </si>
  <si>
    <t xml:space="preserve">No verificada en esta revisión: el acceso al sitio no se pudo confirmar el 5-oct-2026; los valores vienen del libro original del grupo</t>
  </si>
  <si>
    <t xml:space="preserve">F02</t>
  </si>
  <si>
    <t xml:space="preserve">DANE (2025). Proyecciones de población municipal por área 2018-2042 (PPED), actualizado el 30-jul-2025 (archivo PPED-AreaMun-2018-2042_VP.xlsx en data/raw/dane)</t>
  </si>
  <si>
    <t xml:space="preserve">https://www.dane.gov.co/index.php/estadisticas-por-tema/demografia-y-poblacion/proyecciones-de-poblacion</t>
  </si>
  <si>
    <t xml:space="preserve">Dato oficial</t>
  </si>
  <si>
    <t xml:space="preserve">Población 2026 de los 47 municipios (47/47 coinciden con el archivo) y categoría de los candidatos</t>
  </si>
  <si>
    <t xml:space="preserve">Verificada (5-oct-2026): la página del DANE publica la serie municipal por área 2018-2042 (publicación 8-ago-2025); el archivo dice 'Actualizado el 30 de julio de 2025'</t>
  </si>
  <si>
    <t xml:space="preserve">F03</t>
  </si>
  <si>
    <t xml:space="preserve">DANE. Proyecciones municipales de población 2020-2035, actualización post-COVID-19 (DCD) (archivo DCD-area-proypoblacion-Mun-2020-2035-ActPostCOVID-19.xlsx en data/raw/dane)</t>
  </si>
  <si>
    <t xml:space="preserve">Solo control: sensibilidad de la categoría de los candidatos a la fuente de población</t>
  </si>
  <si>
    <t xml:space="preserve">Parcial: el archivo está en data/raw/dane, pero en la página consultada el 5-oct-2026 no se identificó un enlace con ese nombre</t>
  </si>
  <si>
    <t xml:space="preserve">F04</t>
  </si>
  <si>
    <t xml:space="preserve">DANE. DIVIPOLA — Códigos de municipios geolocalizados (corte 30-dic-2024), portal datos.gov.co, recurso gdxc-w37w (consulta 30-sep-2026)</t>
  </si>
  <si>
    <t xml:space="preserve">https://www.datos.gov.co/Mapas-Nacionales/DIVIPOLA-C-digos-municipios-geolocalizados/gdxc-w37w</t>
  </si>
  <si>
    <t xml:space="preserve">Coordenadas de la cabecera de los 47 municipios</t>
  </si>
  <si>
    <t xml:space="preserve">Verificada (5-oct-2026): metadatos del recurso (atribución DANE, corte 30-dic-2024); respuesta original en data/raw</t>
  </si>
  <si>
    <t xml:space="preserve">F05</t>
  </si>
  <si>
    <t xml:space="preserve">OpenStreetMap + Project OSRM, servicio table v1, perfil driving (consulta 30-sep-2026)</t>
  </si>
  <si>
    <t xml:space="preserve">https://router.project-osrm.org/table/v1/driving/</t>
  </si>
  <si>
    <t xml:space="preserve">Servicio de ruteo (datos abiertos)</t>
  </si>
  <si>
    <t xml:space="preserve">Distancias por carretera de los pares no verificados en Google Maps</t>
  </si>
  <si>
    <t xml:space="preserve">Verificada: 58 respuestas originales guardadas con su URL en data/raw/osrm; 5 llamadas re-consultadas coincidieron</t>
  </si>
  <si>
    <t xml:space="preserve">F06</t>
  </si>
  <si>
    <t xml:space="preserve">El Tiempo, blog 'Venga le cuento' (14-ago-2026). Kits de ayuda a damnificados por el terremoto desde $14.650</t>
  </si>
  <si>
    <t xml:space="preserve">https://blogs.eltiempo.com/venga-le-cuento/2026/08/14/kits-de-ayuda-a-damnificados-por-el-terremoto-desde-14-650/</t>
  </si>
  <si>
    <t xml:space="preserve">Prensa</t>
  </si>
  <si>
    <t xml:space="preserve">Costo de un kit de alimentación (29.730) y uno de aseo (29.730); v = 60.000 COP (redondeo)</t>
  </si>
  <si>
    <t xml:space="preserve">No verificada: el sitio responde 403 al acceso automatizado (5-oct-2026); título y fecha identificados en el buscador; los precios vienen del libro del grupo. Corroboración parcial en F17</t>
  </si>
  <si>
    <t xml:space="preserve">F07</t>
  </si>
  <si>
    <t xml:space="preserve">El Cronista (02-sep-2026). La Ungrd entregará hasta $3,1 millones a familias afectadas por el terremoto</t>
  </si>
  <si>
    <t xml:space="preserve">https://www.cronista.com/colombia/actualidad-co/la-ungrd-entregara-hasta-31-millones-a-familias-afectadas-por-el-terremoto-quienes-pueden-cobrarlo/</t>
  </si>
  <si>
    <t xml:space="preserve">Referencia del costo fijo por plaza c_f (supuesto provisional) y de T = 3 meses</t>
  </si>
  <si>
    <t xml:space="preserve">Verificada (5-oct-2026): 3 meses; $787.907,25 a $1.050.543 por hogar-mes según categoría del municipio</t>
  </si>
  <si>
    <t xml:space="preserve">F08</t>
  </si>
  <si>
    <t xml:space="preserve">Universidad de La Sabana. Caso 2. Terremoto en Colombia (enunciado, Prof. Gonzalo Mejía)</t>
  </si>
  <si>
    <t xml:space="preserve">docs/Caso_2_Terremoto_en_Colombia_enunciado.pdf (archivo local)</t>
  </si>
  <si>
    <t xml:space="preserve">Enunciado</t>
  </si>
  <si>
    <t xml:space="preserve">Capacidades 3.000/1.000/500, tarifa 500 COP/km·persona, 180 km, regla del presupuesto</t>
  </si>
  <si>
    <t xml:space="preserve">Verificada (archivo del curso)</t>
  </si>
  <si>
    <t xml:space="preserve">F09</t>
  </si>
  <si>
    <t xml:space="preserve">Google Maps, indicaciones en carro, primera ruta sugerida (consultas 1-oct-2026 y 5-oct-2026)</t>
  </si>
  <si>
    <t xml:space="preserve">https://www.google.com/maps (URL de cada consulta en data/raw/google_maps y en las hojas Control_distancias y Control_140_160km)</t>
  </si>
  <si>
    <t xml:space="preserve">Servicio de ruteo</t>
  </si>
  <si>
    <t xml:space="preserve">Distancias de 164 pares de la matriz final (1-oct) y control de 48 pares de 140–160 km (5-oct)</t>
  </si>
  <si>
    <t xml:space="preserve">Verificada: cada par tiene su URL; Google muestra km enteros desde 100 km</t>
  </si>
  <si>
    <t xml:space="preserve">F10</t>
  </si>
  <si>
    <t xml:space="preserve">Association of Bay Area Governments — ABAG (2017). Bay Area Earthquake Shelter Needs (white paper; estimaciones con la metodología Hazus de FEMA)</t>
  </si>
  <si>
    <t xml:space="preserve">https://files.mtc.ca.gov/library/pub/ABAG/30232.pdf</t>
  </si>
  <si>
    <t xml:space="preserve">Informe técnico</t>
  </si>
  <si>
    <t xml:space="preserve">Sustenta f = 10 % como escenario de planeación y la sensibilidad 8,3 / 11,6 / 13 %</t>
  </si>
  <si>
    <t xml:space="preserve">Verificada (5-oct-2026): 11,6 % de los desplazados busca refugio en el escenario Hayward; 8,3 % (Napa) a 13,2 % (Solano) por condado; demografía de EE. UU.</t>
  </si>
  <si>
    <t xml:space="preserve">F11</t>
  </si>
  <si>
    <t xml:space="preserve">OPS/OMS (10-ago-2026). Informe de situación 2: Colombia — Terremoto agosto 2026</t>
  </si>
  <si>
    <t xml:space="preserve">https://www.paho.org/es/documentos/informe-situacion-2-colombia-terremoto-agosto-2026-10-agosto-2026</t>
  </si>
  <si>
    <t xml:space="preserve">Informe de situación</t>
  </si>
  <si>
    <t xml:space="preserve">Contexto del evento</t>
  </si>
  <si>
    <t xml:space="preserve">Verificada (5-oct-2026): magnitud 7,4; profundidad 103 km; sentido en 16 departamentos y afectaciones en 12</t>
  </si>
  <si>
    <t xml:space="preserve">F12</t>
  </si>
  <si>
    <t xml:space="preserve">DNP (2014). CONPES 3819: Política nacional para consolidar el Sistema de Ciudades en Colombia</t>
  </si>
  <si>
    <t xml:space="preserve">https://colaboracion.dnp.gov.co/CDT/Conpes/Econ%C3%B3micos/3819.pdf</t>
  </si>
  <si>
    <t xml:space="preserve">Documento de política</t>
  </si>
  <si>
    <t xml:space="preserve">Umbral de 100.000 habitantes para ciudad intermedia (P12)</t>
  </si>
  <si>
    <t xml:space="preserve">NO verificada: el sitio del DNP bloquea el acceso automatizado (5-oct-2026). Se usa F13 como fuente secundaria</t>
  </si>
  <si>
    <t xml:space="preserve">F13</t>
  </si>
  <si>
    <t xml:space="preserve">Wikipedia. Aglomeraciones urbanas de Colombia</t>
  </si>
  <si>
    <t xml:space="preserve">https://es.wikipedia.org/wiki/Aglomeraciones_urbanas_de_Colombia</t>
  </si>
  <si>
    <t xml:space="preserve">Fuente secundaria (enciclopedia)</t>
  </si>
  <si>
    <t xml:space="preserve">Respaldo secundario del umbral de 100.000 habitantes del Sistema de Ciudades</t>
  </si>
  <si>
    <t xml:space="preserve">Verificada (5-oct-2026): el Sistema de Ciudades del DNP incluye municipios y aglomeraciones de más de 100.000 habitantes</t>
  </si>
  <si>
    <t xml:space="preserve">F14</t>
  </si>
  <si>
    <t xml:space="preserve">El Nuevo Siglo (18-ago-2026). 2.013 personas permanecen en albergues tras terremoto en Colombia</t>
  </si>
  <si>
    <t xml:space="preserve">https://www.elnuevosiglo.com.co/nacion/2013-personas-permanecen-en-albergues-tras-terremoto-en-colombia</t>
  </si>
  <si>
    <t xml:space="preserve">Albergados observados: Pereira 1.300, Manizales 195, Cali 192, Armenia 135</t>
  </si>
  <si>
    <t xml:space="preserve">Verificada (5-oct-2026)</t>
  </si>
  <si>
    <t xml:space="preserve">F15</t>
  </si>
  <si>
    <t xml:space="preserve">El Blog del Ministro (29-sep-2026). Dosquebradas unifica alojamientos temporales en el Centro Vida Argemiro Cárdenas</t>
  </si>
  <si>
    <t xml:space="preserve">https://www.elblogdelministro.com/2026/09/dosquebradas-unifica-alojamientos.html</t>
  </si>
  <si>
    <t xml:space="preserve">Prensa (blog)</t>
  </si>
  <si>
    <t xml:space="preserve">Albergados observados en Dosquebradas: promedio de 400 personas en 48 días; 45 personas el 27-sep</t>
  </si>
  <si>
    <t xml:space="preserve">Verificada (5-oct-2026): se abrió la página (antes solo se tenía el extracto del buscador)</t>
  </si>
  <si>
    <t xml:space="preserve">F16</t>
  </si>
  <si>
    <t xml:space="preserve">UNGRD (02-sep-2026). UNGRD activa apoyo económico temporal para familias damnificadas por el terremoto</t>
  </si>
  <si>
    <t xml:space="preserve">https://portal.gestiondelriesgo.gov.co/Paginas/Noticias/2026/UNGRD-activa-apoyo-economico-temporal-para-familias-damnificadas-por-el-terremoto.aspx</t>
  </si>
  <si>
    <t xml:space="preserve">Comunicado oficial</t>
  </si>
  <si>
    <t xml:space="preserve">Corrobora F07: montos por hogar-mes por categoría de municipio, 3 meses</t>
  </si>
  <si>
    <t xml:space="preserve">F17</t>
  </si>
  <si>
    <t xml:space="preserve">Valora Analitik (13-ago-2026). Así puede donar kit de alimentos o aseo con D1 para damnificados del terremoto</t>
  </si>
  <si>
    <t xml:space="preserve">https://www.valoraanalitik.com/asi-puede-donar-kit-de-alimentos-o-aseo-con-d1-para-damnificados-del-terremoto/</t>
  </si>
  <si>
    <t xml:space="preserve">Corroboración del orden de magnitud del costo de los kits (no reemplaza a F06)</t>
  </si>
  <si>
    <t xml:space="preserve">Verificada (5-oct-2026): kits de alimentos o aseo de $15.000 y $30.000</t>
  </si>
  <si>
    <t xml:space="preserve">F18</t>
  </si>
  <si>
    <t xml:space="preserve">UNGRD (2024). Protocolo de alojamientos temporales (Estrategia Nacional de Respuesta)</t>
  </si>
  <si>
    <t xml:space="preserve">https://portal.gestiondelriesgo.gov.co/Documents/ENRE/5-Alojamientos-temporales.pdf</t>
  </si>
  <si>
    <t xml:space="preserve">Documento técnico oficial</t>
  </si>
  <si>
    <t xml:space="preserve">Búsqueda de una referencia pública para c_f: el protocolo no publica costos; sí el estándar de 3,5 m² por persona</t>
  </si>
  <si>
    <t xml:space="preserve">Verificada (5-oct-2026): sin cifras de costo</t>
  </si>
  <si>
    <t xml:space="preserve">Registro de correcciones y complementos (30-sep, 1-oct y 5-oct-2026)</t>
  </si>
  <si>
    <t xml:space="preserve">Elemento</t>
  </si>
  <si>
    <t xml:space="preserve">Antes</t>
  </si>
  <si>
    <t xml:space="preserve">Ahora</t>
  </si>
  <si>
    <t xml:space="preserve">Motivo</t>
  </si>
  <si>
    <t xml:space="preserve">Coordenadas</t>
  </si>
  <si>
    <t xml:space="preserve">Pendientes (notebook 01 sin ejecutar)</t>
  </si>
  <si>
    <t xml:space="preserve">DIVIPOLA oficial para los 47 nodos</t>
  </si>
  <si>
    <t xml:space="preserve">Requisito del caso; un punto (cabecera municipal) por municipio</t>
  </si>
  <si>
    <t xml:space="preserve">Distancias</t>
  </si>
  <si>
    <t xml:space="preserve">No existían (sensibilidad preliminar usaba distancias no documentadas)</t>
  </si>
  <si>
    <t xml:space="preserve">Matriz 29×18 por carretera (OSRM + Google Maps en 164 pares)</t>
  </si>
  <si>
    <t xml:space="preserve">Requisito del caso; cifras preliminares quedan reemplazadas</t>
  </si>
  <si>
    <t xml:space="preserve">Distancias (verificación)</t>
  </si>
  <si>
    <t xml:space="preserve">Pares de control 'PENDIENTE' de cotejar con Google Maps</t>
  </si>
  <si>
    <t xml:space="preserve">164 pares verificados en Google Maps; manda Google Maps en ellos</t>
  </si>
  <si>
    <t xml:space="preserve">Mediana Google/OSRM ≈ 1,005; 7 pares cambian de factibilidad a 180 km</t>
  </si>
  <si>
    <t xml:space="preserve">La Dorada (C17)</t>
  </si>
  <si>
    <t xml:space="preserve">Marcada sin ningún municipio a ≤ 180 km (OSRM 212,9 km)</t>
  </si>
  <si>
    <t xml:space="preserve">Alcanza a Manizales (166 km) y Villamaría (165 km) según Google Maps</t>
  </si>
  <si>
    <t xml:space="preserve">Error de ruteo OSRM (rodeo por el sur); 17 candidatos útiles</t>
  </si>
  <si>
    <t xml:space="preserve">Sensibilidad c_f</t>
  </si>
  <si>
    <t xml:space="preserve">Tabla 'techo' preliminar</t>
  </si>
  <si>
    <t xml:space="preserve">Recalculada con el MILP y distancias reales (notebook 02)</t>
  </si>
  <si>
    <t xml:space="preserve">La tabla preliminar no es reproducible</t>
  </si>
  <si>
    <t xml:space="preserve">Costo variable</t>
  </si>
  <si>
    <t xml:space="preserve">60.000 COP</t>
  </si>
  <si>
    <t xml:space="preserve">Kit de alimentación 29.730 + kit de aseo 29.730 = 59.460; v = 60.000 se declara como redondeo (+540)</t>
  </si>
  <si>
    <t xml:space="preserve">Transparencia (5-oct-2026: parámetros separados)</t>
  </si>
  <si>
    <t xml:space="preserve">Hoja con 9 fuentes sin URL ni estado</t>
  </si>
  <si>
    <t xml:space="preserve">18 fuentes con URL, tipo, uso y verificación; IDs ordenados</t>
  </si>
  <si>
    <t xml:space="preserve">Revisión 5-oct-2026</t>
  </si>
  <si>
    <t xml:space="preserve">Albergados observados</t>
  </si>
  <si>
    <t xml:space="preserve">Rango observado citado sin tabla ni fuente</t>
  </si>
  <si>
    <t xml:space="preserve">Tabla con fuente: 0,4 % (Cali) a 4,4 % (Dosquebradas) de las personas en NH</t>
  </si>
  <si>
    <t xml:space="preserve">Distancias 140–160 km</t>
  </si>
  <si>
    <t xml:space="preserve">48 pares OSRM sin verificar</t>
  </si>
  <si>
    <t xml:space="preserve">Verificados en Google Maps (5-oct-2026); ninguno cambia de factibilidad</t>
  </si>
  <si>
    <t xml:space="preserve">Revisión 5-oct-2026; se usan como sensibilidad</t>
  </si>
  <si>
    <t xml:space="preserve">Criterio 'ciudad cercana'</t>
  </si>
  <si>
    <t xml:space="preserve">Implícito</t>
  </si>
  <si>
    <t xml:space="preserve">≥ 1 municipio afectado a ≤ 180 km por carretera, reportado por candidato</t>
  </si>
  <si>
    <t xml:space="preserve">Tasa de albergue observada = albergados ÷ personas en viviendas no habitables (NH × hogar RUD)</t>
  </si>
  <si>
    <t xml:space="preserve">Fechas no comparables (18-ago puntual vs. promedio de 48 días). f = 10 % es un escenario de planeación, no una tasa observada.</t>
  </si>
  <si>
    <t xml:space="preserve">albergados</t>
  </si>
  <si>
    <t xml:space="preserve">fecha_dato</t>
  </si>
  <si>
    <t xml:space="preserve">dias_desde_sismo</t>
  </si>
  <si>
    <t xml:space="preserve">tipo_dato</t>
  </si>
  <si>
    <t xml:space="preserve">personas_en_NH</t>
  </si>
  <si>
    <t xml:space="preserve">veces_f_base</t>
  </si>
  <si>
    <t xml:space="preserve">fuente_id</t>
  </si>
  <si>
    <t xml:space="preserve">fuente</t>
  </si>
  <si>
    <t xml:space="preserve">url</t>
  </si>
  <si>
    <t xml:space="preserve">verificacion</t>
  </si>
  <si>
    <t xml:space="preserve">nota</t>
  </si>
  <si>
    <t xml:space="preserve">tasa_observada_pct</t>
  </si>
  <si>
    <t xml:space="preserve">2026-08-18</t>
  </si>
  <si>
    <t xml:space="preserve">8</t>
  </si>
  <si>
    <t xml:space="preserve">personas en albergues en la fecha</t>
  </si>
  <si>
    <t xml:space="preserve">El Nuevo Siglo, 18-ago-2026</t>
  </si>
  <si>
    <t xml:space="preserve">Verificada (consulta 5-oct-2026)</t>
  </si>
  <si>
    <t xml:space="preserve">7 albergues; el artículo reporta 2.013 personas en 14 albergues del país</t>
  </si>
  <si>
    <t xml:space="preserve">3 albergues</t>
  </si>
  <si>
    <t xml:space="preserve">2 albergues</t>
  </si>
  <si>
    <t xml:space="preserve">1 albergue</t>
  </si>
  <si>
    <t xml:space="preserve">2026-08-10 a 2026-09-27</t>
  </si>
  <si>
    <t xml:space="preserve">1-48</t>
  </si>
  <si>
    <t xml:space="preserve">promedio de personas alojadas durante la contingencia</t>
  </si>
  <si>
    <t xml:space="preserve">El Blog del Ministro, 29-sep-2026</t>
  </si>
  <si>
    <t xml:space="preserve">Promedio de 118 familias y 400 personas en los primeros 48 días; el 27-sep quedaban 28 familias (45 personas)</t>
  </si>
  <si>
    <t xml:space="preserve">Verificación adicional en Google Maps — pares OSRM de 140 a 160 km (48 pares, 5-oct-2026)</t>
  </si>
  <si>
    <t xml:space="preserve">No reemplazan a OSRM en la matriz final (12 consultas muestran cierres viales temporales); se usan como control y sensibilidad.</t>
  </si>
  <si>
    <t xml:space="preserve">observacion_ruta</t>
  </si>
  <si>
    <t xml:space="preserve">razon_Google_OSRM</t>
  </si>
  <si>
    <t xml:space="preserve">franja 140-160 km (verificación 5-oct-2026)</t>
  </si>
  <si>
    <t xml:space="preserve">Ruta más rápida, tráfico habitual</t>
  </si>
  <si>
    <t xml:space="preserve">https://www.google.com/maps/dir/4.804985,-75.719711/3.900736,-76.298979/data=!4m2!4m1!3e0?hl=es</t>
  </si>
  <si>
    <t xml:space="preserve">2026-10-05</t>
  </si>
  <si>
    <t xml:space="preserve">https://www.google.com/maps/dir/4.804985,-75.719711/3.761815,-76.330911/data=!4m2!4m1!3e0?hl=es</t>
  </si>
  <si>
    <t xml:space="preserve">Ruta más rápida según el tráfico del momento</t>
  </si>
  <si>
    <t xml:space="preserve">https://www.google.com/maps/dir/3.875708,-77.01074/3.408354,-76.346519/data=!4m2!4m1!3e0?hl=es</t>
  </si>
  <si>
    <t xml:space="preserve">https://www.google.com/maps/dir/3.875708,-77.01074/3.324118,-76.234199/data=!4m2!4m1!3e0?hl=es</t>
  </si>
  <si>
    <t xml:space="preserve">https://www.google.com/maps/dir/4.53598,-75.680786/3.684229,-76.311972/data=!4m2!4m1!3e0?hl=es</t>
  </si>
  <si>
    <t xml:space="preserve">https://www.google.com/maps/dir/4.53598,-75.680786/3.724181,-76.268068/data=!4m2!4m1!3e0?hl=es</t>
  </si>
  <si>
    <t xml:space="preserve">Ruta más rápida ahora: evita cortes de carretera en Cra. 19 (cierre temporal el 5-oct-2026)</t>
  </si>
  <si>
    <t xml:space="preserve">https://www.google.com/maps/dir/4.53598,-75.680786/5.446843,-75.64966/data=!4m2!4m1!3e0?hl=es</t>
  </si>
  <si>
    <t xml:space="preserve">https://www.google.com/maps/dir/4.833131,-75.675371/3.900736,-76.298979/data=!4m2!4m1!3e0?hl=es</t>
  </si>
  <si>
    <t xml:space="preserve">https://www.google.com/maps/dir/4.876271,-75.623268/3.900736,-76.298979/data=!4m2!4m1!3e0?hl=es</t>
  </si>
  <si>
    <t xml:space="preserve">https://www.google.com/maps/dir/4.876271,-75.623268/5.610244,-75.45487/data=!4m2!4m1!3e0?hl=es</t>
  </si>
  <si>
    <t xml:space="preserve">https://www.google.com/maps/dir/4.624387,-75.765074/3.900736,-76.298979/data=!4m2!4m1!3e0?hl=es</t>
  </si>
  <si>
    <t xml:space="preserve">https://www.google.com/maps/dir/4.624387,-75.765074/3.761815,-76.330911/data=!4m2!4m1!3e0?hl=es</t>
  </si>
  <si>
    <t xml:space="preserve">https://www.google.com/maps/dir/4.624387,-75.765074/5.446843,-75.64966/data=!4m2!4m1!3e0?hl=es</t>
  </si>
  <si>
    <t xml:space="preserve">https://www.google.com/maps/dir/4.565057,-75.749827/3.684229,-76.311972/data=!4m2!4m1!3e0?hl=es</t>
  </si>
  <si>
    <t xml:space="preserve">https://www.google.com/maps/dir/4.565057,-75.749827/3.724181,-76.268068/data=!4m2!4m1!3e0?hl=es</t>
  </si>
  <si>
    <t xml:space="preserve">https://www.google.com/maps/dir/4.565057,-75.749827/5.446843,-75.64966/data=!4m2!4m1!3e0?hl=es</t>
  </si>
  <si>
    <t xml:space="preserve">https://www.google.com/maps/dir/4.413601,-76.152277/3.258751,-76.538472/data=!4m2!4m1!3e0?hl=es</t>
  </si>
  <si>
    <t xml:space="preserve">https://www.google.com/maps/dir/4.413601,-76.152277/3.324118,-76.234199/data=!4m2!4m1!3e0?hl=es</t>
  </si>
  <si>
    <t xml:space="preserve">Ruta más rápida ahora: evita corte de carretera en La Victoria–La Unión (cierre temporal el 5-oct-2026)</t>
  </si>
  <si>
    <t xml:space="preserve">https://www.google.com/maps/dir/4.726945,-76.119905/3.900736,-76.298979/data=!4m2!4m1!3e0?hl=es</t>
  </si>
  <si>
    <t xml:space="preserve">https://www.google.com/maps/dir/4.533869,-76.099661/3.408354,-76.346519/data=!4m2!4m1!3e0?hl=es</t>
  </si>
  <si>
    <t xml:space="preserve">https://www.google.com/maps/dir/4.533869,-76.099661/3.540097,-76.499893/data=!4m2!4m1!3e0?hl=es</t>
  </si>
  <si>
    <t xml:space="preserve">https://www.google.com/maps/dir/4.533869,-76.099661/3.419793,-76.241799/data=!4m2!4m1!3e0?hl=es</t>
  </si>
  <si>
    <t xml:space="preserve">https://www.google.com/maps/dir/4.533869,-76.099661/5.446843,-75.64966/data=!4m2!4m1!3e0?hl=es</t>
  </si>
  <si>
    <t xml:space="preserve">https://www.google.com/maps/dir/4.608085,-76.076859/3.531544,-76.298846/data=!4m2!4m1!3e0?hl=es</t>
  </si>
  <si>
    <t xml:space="preserve">https://www.google.com/maps/dir/4.608085,-76.076859/3.408354,-76.346519/data=!4m2!4m1!3e0?hl=es</t>
  </si>
  <si>
    <t xml:space="preserve">https://www.google.com/maps/dir/4.608085,-76.076859/3.540097,-76.499893/data=!4m2!4m1!3e0?hl=es</t>
  </si>
  <si>
    <t xml:space="preserve">https://www.google.com/maps/dir/3.821351,-76.523329/4.742192,-75.924374/data=!4m2!4m1!3e0?hl=es</t>
  </si>
  <si>
    <t xml:space="preserve">https://www.google.com/maps/dir/4.392658,-76.070795/3.258751,-76.538472/data=!4m2!4m1!3e0?hl=es</t>
  </si>
  <si>
    <t xml:space="preserve">https://www.google.com/maps/dir/4.392658,-76.070795/3.324118,-76.234199/data=!4m2!4m1!3e0?hl=es</t>
  </si>
  <si>
    <t xml:space="preserve">https://www.google.com/maps/dir/4.270714,-75.931629/3.324118,-76.234199/data=!4m2!4m1!3e0?hl=es</t>
  </si>
  <si>
    <t xml:space="preserve">https://www.google.com/maps/dir/4.270714,-75.931629/3.419793,-76.241799/data=!4m2!4m1!3e0?hl=es</t>
  </si>
  <si>
    <t xml:space="preserve">https://www.google.com/maps/dir/4.270714,-75.931629/4.985227,-75.607529/data=!4m2!4m1!3e0?hl=es</t>
  </si>
  <si>
    <t xml:space="preserve">https://www.google.com/maps/dir/4.760874,-76.221611/4.085399,-76.197731/data=!4m2!4m1!3e0?hl=es</t>
  </si>
  <si>
    <t xml:space="preserve">https://www.google.com/maps/dir/4.794984,-75.992003/3.684229,-76.311972/data=!4m2!4m1!3e0?hl=es</t>
  </si>
  <si>
    <t xml:space="preserve">https://www.google.com/maps/dir/4.794984,-75.992003/3.761815,-76.330911/data=!4m2!4m1!3e0?hl=es</t>
  </si>
  <si>
    <t xml:space="preserve">https://www.google.com/maps/dir/4.794984,-75.992003/3.724181,-76.268068/data=!4m2!4m1!3e0?hl=es</t>
  </si>
  <si>
    <t xml:space="preserve">https://www.google.com/maps/dir/4.896624,-75.880394/3.761815,-76.330911/data=!4m2!4m1!3e0?hl=es</t>
  </si>
  <si>
    <t xml:space="preserve">https://www.google.com/maps/dir/4.896624,-75.880394/5.610244,-75.45487/data=!4m2!4m1!3e0?hl=es</t>
  </si>
  <si>
    <t xml:space="preserve">https://www.google.com/maps/dir/4.156908,-76.288313/4.985227,-75.607529/data=!4m2!4m1!3e0?hl=es</t>
  </si>
  <si>
    <t xml:space="preserve">https://www.google.com/maps/dir/4.334808,-75.830594/3.531544,-76.298846/data=!4m2!4m1!3e0?hl=es</t>
  </si>
  <si>
    <t xml:space="preserve">https://www.google.com/maps/dir/4.334808,-75.830594/3.408354,-76.346519/data=!4m2!4m1!3e0?hl=es</t>
  </si>
  <si>
    <t xml:space="preserve">https://www.google.com/maps/dir/4.334808,-75.830594/3.540097,-76.499893/data=!4m2!4m1!3e0?hl=es</t>
  </si>
  <si>
    <t xml:space="preserve">https://www.google.com/maps/dir/4.617759,-75.636533/3.684229,-76.311972/data=!4m2!4m1!3e0?hl=es</t>
  </si>
  <si>
    <t xml:space="preserve">https://www.google.com/maps/dir/4.617759,-75.636533/3.761815,-76.330911/data=!4m2!4m1!3e0?hl=es</t>
  </si>
  <si>
    <t xml:space="preserve">https://www.google.com/maps/dir/4.617759,-75.636533/3.724181,-76.268068/data=!4m2!4m1!3e0?hl=es</t>
  </si>
  <si>
    <t xml:space="preserve">https://www.google.com/maps/dir/4.520982,-75.646085/3.684229,-76.311972/data=!4m2!4m1!3e0?hl=es</t>
  </si>
  <si>
    <t xml:space="preserve">https://www.google.com/maps/dir/4.520982,-75.646085/3.724181,-76.268068/data=!4m2!4m1!3e0?hl=es</t>
  </si>
  <si>
    <t xml:space="preserve">https://www.google.com/maps/dir/4.520982,-75.646085/5.446843,-75.64966/data=!4m2!4m1!3e0?hl=es</t>
  </si>
  <si>
    <t xml:space="preserve">Calidad de datos — PASS / WARNING / FAIL (generada por tools/calidad_datos.py)</t>
  </si>
  <si>
    <t xml:space="preserve">FAIL = rompe un requisito del enunciado o una regla de construcción (objetivo: 0). WARNING = debilidad conocida y declarada.</t>
  </si>
  <si>
    <t xml:space="preserve">area</t>
  </si>
  <si>
    <t xml:space="preserve">prueba</t>
  </si>
  <si>
    <t xml:space="preserve">nivel_si_no_cumple</t>
  </si>
  <si>
    <t xml:space="preserve">resultado</t>
  </si>
  <si>
    <t xml:space="preserve">detalle</t>
  </si>
  <si>
    <t xml:space="preserve">D01</t>
  </si>
  <si>
    <t xml:space="preserve">Demanda</t>
  </si>
  <si>
    <t xml:space="preserve">Columnas clave completas</t>
  </si>
  <si>
    <t xml:space="preserve">FAIL</t>
  </si>
  <si>
    <t xml:space="preserve">PASS</t>
  </si>
  <si>
    <t xml:space="preserve">0 valores vacíos en 8 columnas clave</t>
  </si>
  <si>
    <t xml:space="preserve">D02</t>
  </si>
  <si>
    <t xml:space="preserve">≥ 20 municipios, con Cali y Pereira (enunciado)</t>
  </si>
  <si>
    <t xml:space="preserve">29 municipios</t>
  </si>
  <si>
    <t xml:space="preserve">D03</t>
  </si>
  <si>
    <t xml:space="preserve">DIVIPOLA único, de 5 dígitos y coherente con el departamento</t>
  </si>
  <si>
    <t xml:space="preserve">departamentos: Caldas, Quindío, Risaralda, Valle del Cauca</t>
  </si>
  <si>
    <t xml:space="preserve">D04</t>
  </si>
  <si>
    <t xml:space="preserve">Solo Valle del Cauca y Eje Cafetero (enunciado)</t>
  </si>
  <si>
    <t xml:space="preserve">4 departamentos</t>
  </si>
  <si>
    <t xml:space="preserve">D05</t>
  </si>
  <si>
    <t xml:space="preserve">Filtro S1: NH ≥ 400 en todos los municipios</t>
  </si>
  <si>
    <t xml:space="preserve">NH mínimo 409</t>
  </si>
  <si>
    <t xml:space="preserve">D06</t>
  </si>
  <si>
    <t xml:space="preserve">d_i = round(NH · h · f) recalculado coincide</t>
  </si>
  <si>
    <t xml:space="preserve">demanda base 18.880 personas con f = 10 %</t>
  </si>
  <si>
    <t xml:space="preserve">D07</t>
  </si>
  <si>
    <t xml:space="preserve">Población 2026 = DANE PPED (demanda y candidatos)</t>
  </si>
  <si>
    <t xml:space="preserve">47/47 municipios coinciden</t>
  </si>
  <si>
    <t xml:space="preserve">D08</t>
  </si>
  <si>
    <t xml:space="preserve">Tamaño de hogar RUD entre 1,5 y 5 personas</t>
  </si>
  <si>
    <t xml:space="preserve">WARNING</t>
  </si>
  <si>
    <t xml:space="preserve">rango 1,51–2,56</t>
  </si>
  <si>
    <t xml:space="preserve">D09</t>
  </si>
  <si>
    <t xml:space="preserve">Familias registradas por vivienda no habitable ≤ 8</t>
  </si>
  <si>
    <t xml:space="preserve">una familia por vivienda puede subestimar la demanda en: Calarcá (15,3), Sevilla (9,5)</t>
  </si>
  <si>
    <t xml:space="preserve">D10</t>
  </si>
  <si>
    <t xml:space="preserve">Personas registradas en el RUD ≤ 50 % de la población</t>
  </si>
  <si>
    <t xml:space="preserve">Argelia 66,8 %, El Cairo 65,1 %</t>
  </si>
  <si>
    <t xml:space="preserve">D11</t>
  </si>
  <si>
    <t xml:space="preserve">Calidad del dato RUD = F (RUD + reporte territorial)</t>
  </si>
  <si>
    <t xml:space="preserve">7 municipios con dato parcial (P) o solo RUD (R): Santa Rosa de Cabal, Dagua, Restrepo, Ansermanuevo, La Virginia, Bugalagrande, Caicedonia</t>
  </si>
  <si>
    <t xml:space="preserve">Candidatos</t>
  </si>
  <si>
    <t xml:space="preserve">≥ 15 candidatos (enunciado)</t>
  </si>
  <si>
    <t xml:space="preserve">17 candidatos + 1 reserva</t>
  </si>
  <si>
    <t xml:space="preserve">Ningún candidato es un municipio de demanda</t>
  </si>
  <si>
    <t xml:space="preserve">intersección vacía</t>
  </si>
  <si>
    <t xml:space="preserve">Categoría por población y capacidad 3.000 / 1.000 / 500 (enunciado)</t>
  </si>
  <si>
    <t xml:space="preserve">18/18 sitios coherentes (17 candidatos + reserva)</t>
  </si>
  <si>
    <t xml:space="preserve">F_j = K_j · c_f · T · φ recalculado coincide</t>
  </si>
  <si>
    <t xml:space="preserve">F = 1.530 M, 600 M, 345 M</t>
  </si>
  <si>
    <t xml:space="preserve">Filtros S2 (NH &lt; 250) y S7 (&lt; 5 % registrado)</t>
  </si>
  <si>
    <t xml:space="preserve">NH máximo 229 (Chinchiná); La Tebaida es reserva por S7</t>
  </si>
  <si>
    <t xml:space="preserve">Solo ciudades intermedias o grandes (lectura literal del enunciado)</t>
  </si>
  <si>
    <t xml:space="preserve">10 candidatos pequeños: decisión adoptada (sin ellos solo hay 7 elegibles y se exigen 15)</t>
  </si>
  <si>
    <t xml:space="preserve">Población a más de 2 % de los cortes de categoría</t>
  </si>
  <si>
    <t xml:space="preserve">Jamundí (196.875 hab.)</t>
  </si>
  <si>
    <t xml:space="preserve">Parámetros</t>
  </si>
  <si>
    <t xml:space="preserve">B = 50 % del costo fijo de los 10 mayores (enunciado)</t>
  </si>
  <si>
    <t xml:space="preserve">B = 3.547,5 M COP; −15 % = 3.015,4 M; −30 % = 2.483,2 M</t>
  </si>
  <si>
    <t xml:space="preserve">v = kit de alimentación + kit de aseo + redondeo</t>
  </si>
  <si>
    <t xml:space="preserve">29.730 + 29.730 + 540 = 60.000 COP</t>
  </si>
  <si>
    <t xml:space="preserve">Tarifa 500 COP/km·persona y distancia máxima 180 km (enunciado)</t>
  </si>
  <si>
    <t xml:space="preserve">coinciden</t>
  </si>
  <si>
    <t xml:space="preserve">Reducciones dentro del rango 15–30 % (enunciado)</t>
  </si>
  <si>
    <t xml:space="preserve">15 % y 30 %</t>
  </si>
  <si>
    <t xml:space="preserve">El problema no es trivial: demanda &gt; capacidad total</t>
  </si>
  <si>
    <t xml:space="preserve">demanda 18.880 &gt; capacidad 16.000</t>
  </si>
  <si>
    <t xml:space="preserve">c_f y φ con fuente pública</t>
  </si>
  <si>
    <t xml:space="preserve">supuestos del grupo sin costo público por plaza (F18); ver sensibilidad de c_f</t>
  </si>
  <si>
    <t xml:space="preserve">G01</t>
  </si>
  <si>
    <t xml:space="preserve">47 nodos con coordenadas, dentro de la región y sin duplicados</t>
  </si>
  <si>
    <t xml:space="preserve">47 nodos</t>
  </si>
  <si>
    <t xml:space="preserve">G02</t>
  </si>
  <si>
    <t xml:space="preserve">Matriz 29 × 18 completa y positiva</t>
  </si>
  <si>
    <t xml:space="preserve">522 pares</t>
  </si>
  <si>
    <t xml:space="preserve">G03</t>
  </si>
  <si>
    <t xml:space="preserve">Distancia por carretera ≥ línea recta</t>
  </si>
  <si>
    <t xml:space="preserve">razón mínima 1,10</t>
  </si>
  <si>
    <t xml:space="preserve">G04</t>
  </si>
  <si>
    <t xml:space="preserve">Razón carretera / línea recta ≤ 2,3</t>
  </si>
  <si>
    <t xml:space="preserve">9 pares de montaña con razón &gt; 2,3: Circasia–Pensilvania (2,94), Montenegro–Pensilvania (2,67), Manizales–Pensilvania (2,62), Armenia–Pensilvania (2,62), Calarcá–Pensilvania (2,58), Villamaría–Pensilvania (2,49), Dagua–Yumbo (2,47), La Virginia–Chinchiná (2,34), Caicedonia–Pensilvania (2,31)</t>
  </si>
  <si>
    <t xml:space="preserve">G05</t>
  </si>
  <si>
    <t xml:space="preserve">Matriz final = Google Maps en pares verificados y OSRM en el resto</t>
  </si>
  <si>
    <t xml:space="preserve">164 pares Google Maps + 358 OSRM</t>
  </si>
  <si>
    <t xml:space="preserve">G06</t>
  </si>
  <si>
    <t xml:space="preserve">Una sola fuente de distancias</t>
  </si>
  <si>
    <t xml:space="preserve">matriz combinada Google Maps/OSRM: decisión adoptada (Google donde se decide la factibilidad; con solo OSRM la red base no cambia)</t>
  </si>
  <si>
    <t xml:space="preserve">G07</t>
  </si>
  <si>
    <t xml:space="preserve">Cada municipio tiene ≥ 1 candidato a ≤ 180 km</t>
  </si>
  <si>
    <t xml:space="preserve">mínimo 4 candidatos por municipio; 308 arcos factibles</t>
  </si>
  <si>
    <t xml:space="preserve">G08</t>
  </si>
  <si>
    <t xml:space="preserve">Criterio de ciudad cercana: cada candidato alcanza ≥ 1 municipio</t>
  </si>
  <si>
    <t xml:space="preserve">17/17 candidatos</t>
  </si>
  <si>
    <t xml:space="preserve">G09</t>
  </si>
  <si>
    <t xml:space="preserve">Cada candidato alcanza ≥ 3 municipios</t>
  </si>
  <si>
    <t xml:space="preserve">La Dorada alcanza 2 (2 de ellos solo con Google Maps)</t>
  </si>
  <si>
    <t xml:space="preserve">G10</t>
  </si>
  <si>
    <t xml:space="preserve">Ningún par a ≤ 3 km del corte de 180 km</t>
  </si>
  <si>
    <t xml:space="preserve">16 pares a ≤ 3 km del corte (Google muestra km enteros; OSRM es una ruta estimada): Pereira–Aguadas (178,0 km), Armenia–Pradera (178,0 km), Montenegro–Pradera (180,0 km), Argelia–El Cerrito (180,0 km), Argelia–Ginebra (181,0 km), La Unión–Jamundí (180,0 km), Toro–Florida (180,0 km), El Cairo–Guadalajara de Buga (181,0 km), Ansermanuevo–Palmira (178,0 km), Ansermanuevo–Yumbo (183,0 km), Caicedonia–Florida (178,0 km), Caicedonia–Supía (178,0 km), Circasia–Palmira (178,0 km), Circasia–Yumbo (183,0 km), Calarcá–Candelaria (181,0 km), Calarcá–Yumbo (178,0 km)</t>
  </si>
  <si>
    <t xml:space="preserve">G11</t>
  </si>
  <si>
    <t xml:space="preserve">Pares OSRM de 140–160 km verificados y sin cambio de factibilidad</t>
  </si>
  <si>
    <t xml:space="preserve">49 pares en la franja (48 verificados el 5-oct + 1 de control); máximo Google 168 km</t>
  </si>
  <si>
    <t xml:space="preserve">Tasa de albergue observada recalculada</t>
  </si>
  <si>
    <t xml:space="preserve">0,4–4,4 % de las personas en NH</t>
  </si>
  <si>
    <t xml:space="preserve">f = 10 % dentro del rango observado</t>
  </si>
  <si>
    <t xml:space="preserve">f es 2,3–23,9 veces lo observado: escenario de planeación (ABAG)</t>
  </si>
  <si>
    <t xml:space="preserve">Cada fuente tiene URL y estado de verificación</t>
  </si>
  <si>
    <t xml:space="preserve">18 fuentes (F01–F18)</t>
  </si>
  <si>
    <t xml:space="preserve">Todas las fuentes abiertas y verificadas</t>
  </si>
  <si>
    <t xml:space="preserve">3 no verificadas: F01, F06, F12 (sus cifras vienen del libro del grupo)</t>
  </si>
  <si>
    <t xml:space="preserve">Diccionario de datos (Real = dato de fuente o del enunciado; Calculado = derivado; Supuesto = decisión del grupo)</t>
  </si>
  <si>
    <t xml:space="preserve">Archivo</t>
  </si>
  <si>
    <t xml:space="preserve">Columna</t>
  </si>
  <si>
    <t xml:space="preserve">data/processed/demanda.csv</t>
  </si>
  <si>
    <t xml:space="preserve">Identificador del punto de demanda (D + DIVIPOLA)</t>
  </si>
  <si>
    <t xml:space="preserve">—</t>
  </si>
  <si>
    <t xml:space="preserve">Identificador</t>
  </si>
  <si>
    <t xml:space="preserve">Código DIVIPOLA del municipio</t>
  </si>
  <si>
    <t xml:space="preserve">Nombre del municipio afectado</t>
  </si>
  <si>
    <t xml:space="preserve">Latitud de la cabecera municipal (F04)</t>
  </si>
  <si>
    <t xml:space="preserve">grados</t>
  </si>
  <si>
    <t xml:space="preserve">Longitud de la cabecera municipal (F04)</t>
  </si>
  <si>
    <t xml:space="preserve">pob_DANE_2026</t>
  </si>
  <si>
    <t xml:space="preserve">Población proyectada 2026 (F02)</t>
  </si>
  <si>
    <t xml:space="preserve">NH_RUD</t>
  </si>
  <si>
    <t xml:space="preserve">Viviendas no habitables registradas en el RUD (F01)</t>
  </si>
  <si>
    <t xml:space="preserve">familias_RUD</t>
  </si>
  <si>
    <t xml:space="preserve">Familias registradas en el RUD (F01)</t>
  </si>
  <si>
    <t xml:space="preserve">familias</t>
  </si>
  <si>
    <t xml:space="preserve">personas_RUD</t>
  </si>
  <si>
    <t xml:space="preserve">Personas registradas en el RUD (F01)</t>
  </si>
  <si>
    <t xml:space="preserve">hogar_RUD</t>
  </si>
  <si>
    <t xml:space="preserve">Tamaño de hogar h_i = personas_RUD / familias_RUD</t>
  </si>
  <si>
    <t xml:space="preserve">personas/familia</t>
  </si>
  <si>
    <t xml:space="preserve">Personas en viviendas no habitables = round(NH_RUD · h_i) (una familia por vivienda)</t>
  </si>
  <si>
    <t xml:space="preserve">d_f02</t>
  </si>
  <si>
    <t xml:space="preserve">Demanda con f = 2 %: round(NH_RUD · h_i · 0,02)</t>
  </si>
  <si>
    <t xml:space="preserve">d_f05</t>
  </si>
  <si>
    <t xml:space="preserve">Demanda con f = 5 %</t>
  </si>
  <si>
    <t xml:space="preserve">d_f10</t>
  </si>
  <si>
    <t xml:space="preserve">Demanda BASE d_i con f = 10 % (supuesto de planeación, F10)</t>
  </si>
  <si>
    <t xml:space="preserve">d_f13</t>
  </si>
  <si>
    <t xml:space="preserve">Demanda con f = 13 %</t>
  </si>
  <si>
    <t xml:space="preserve">d_f10_hogar3</t>
  </si>
  <si>
    <t xml:space="preserve">Demanda con f = 10 % y hogar de 3,0 personas (sensibilidad)</t>
  </si>
  <si>
    <t xml:space="preserve">pct_registrado</t>
  </si>
  <si>
    <t xml:space="preserve">Personas registradas en el RUD / población DANE × 100</t>
  </si>
  <si>
    <t xml:space="preserve">%</t>
  </si>
  <si>
    <t xml:space="preserve">calidad_dato_RUD</t>
  </si>
  <si>
    <t xml:space="preserve">Calidad del dato: F fuerte, P parcial, R solo RUD (criterio del grupo)</t>
  </si>
  <si>
    <t xml:space="preserve">data/processed/candidatos.csv</t>
  </si>
  <si>
    <t xml:space="preserve">Identificador del sitio (C01–C17 candidatos, R01 reserva)</t>
  </si>
  <si>
    <t xml:space="preserve">Código DIVIPOLA</t>
  </si>
  <si>
    <t xml:space="preserve">Municipio del sitio</t>
  </si>
  <si>
    <t xml:space="preserve">Candidato o Reserva (La Tebaida no cumple S7)</t>
  </si>
  <si>
    <t xml:space="preserve">Viviendas no habitables en el municipio del sitio (F01)</t>
  </si>
  <si>
    <t xml:space="preserve">Personas registradas / población × 100</t>
  </si>
  <si>
    <t xml:space="preserve">categoria</t>
  </si>
  <si>
    <t xml:space="preserve">Grande (≥ 200.000 hab.), Intermedia (≥ 100.000) o Pequeña (cortes P11–P12)</t>
  </si>
  <si>
    <t xml:space="preserve">capacidad_K</t>
  </si>
  <si>
    <t xml:space="preserve">Capacidad K_j según categoría (enunciado: 3.000 / 1.000 / 500)</t>
  </si>
  <si>
    <t xml:space="preserve">factor_escala</t>
  </si>
  <si>
    <t xml:space="preserve">Factor φ de economías de escala: 0,85 / 1,00 / 1,15</t>
  </si>
  <si>
    <t xml:space="preserve">costo_fijo_por_plaza_T</t>
  </si>
  <si>
    <t xml:space="preserve">c_f · T · φ = costo fijo por plaza en 3 meses</t>
  </si>
  <si>
    <t xml:space="preserve">COP/plaza</t>
  </si>
  <si>
    <t xml:space="preserve">costo_fijo_fj</t>
  </si>
  <si>
    <t xml:space="preserve">Costo fijo F_j = K_j · c_f · T · φ (c_f = 200.000 COP/plaza-mes, supuesto)</t>
  </si>
  <si>
    <t xml:space="preserve">COP</t>
  </si>
  <si>
    <t xml:space="preserve">costo_variable_vj</t>
  </si>
  <si>
    <t xml:space="preserve">Costo variable v = 60.000 (redondeo de 29.730 + 29.730)</t>
  </si>
  <si>
    <t xml:space="preserve">filtros_S2_S7</t>
  </si>
  <si>
    <t xml:space="preserve">Cumple NH &lt; 250 y % registrado &lt; 5 % (criterio del grupo)</t>
  </si>
  <si>
    <t xml:space="preserve">Latitud de la cabecera (F04)</t>
  </si>
  <si>
    <t xml:space="preserve">Longitud de la cabecera (F04)</t>
  </si>
  <si>
    <t xml:space="preserve">data/processed/distancias_largo.csv</t>
  </si>
  <si>
    <t xml:space="preserve">Punto de demanda</t>
  </si>
  <si>
    <t xml:space="preserve">Sitio</t>
  </si>
  <si>
    <t xml:space="preserve">Distancia por carretera de la matriz final (Google Maps en 164 pares, OSRM en el resto)</t>
  </si>
  <si>
    <t xml:space="preserve">Distancia OSRM original (F05)</t>
  </si>
  <si>
    <t xml:space="preserve">fuente_km</t>
  </si>
  <si>
    <t xml:space="preserve">Fuente del valor km (Google Maps u OSRM)</t>
  </si>
  <si>
    <t xml:space="preserve">Municipio afectado</t>
  </si>
  <si>
    <t xml:space="preserve">Distancia haversine entre cabeceras</t>
  </si>
  <si>
    <t xml:space="preserve">razon_carretera_recta</t>
  </si>
  <si>
    <t xml:space="preserve">km / km_linea_recta</t>
  </si>
  <si>
    <t xml:space="preserve">factible_180km</t>
  </si>
  <si>
    <t xml:space="preserve">1 si km ≤ 180 (enunciado)</t>
  </si>
  <si>
    <t xml:space="preserve">0/1</t>
  </si>
  <si>
    <t xml:space="preserve">costo_transporte_persona_COP</t>
  </si>
  <si>
    <t xml:space="preserve">500 · km (enunciado)</t>
  </si>
  <si>
    <t xml:space="preserve">Descripción de la fuente y fecha de consulta</t>
  </si>
  <si>
    <t xml:space="preserve">data/processed/tasa_albergue_observada.csv</t>
  </si>
  <si>
    <t xml:space="preserve">Personas en albergues reportadas por la prensa (F14, F15)</t>
  </si>
  <si>
    <t xml:space="preserve">Fecha o periodo del dato</t>
  </si>
  <si>
    <t xml:space="preserve">fecha</t>
  </si>
  <si>
    <t xml:space="preserve">Días desde el 10-ago-2026</t>
  </si>
  <si>
    <t xml:space="preserve">días</t>
  </si>
  <si>
    <t xml:space="preserve">Corte puntual o promedio del periodo</t>
  </si>
  <si>
    <t xml:space="preserve">Personas en viviendas no habitables (demanda.csv)</t>
  </si>
  <si>
    <t xml:space="preserve">tasa_observada</t>
  </si>
  <si>
    <t xml:space="preserve">albergados / personas_en_NH</t>
  </si>
  <si>
    <t xml:space="preserve">f base (0,10) / tasa_observada</t>
  </si>
  <si>
    <t xml:space="preserve">veces</t>
  </si>
  <si>
    <t xml:space="preserve">ID en la hoja Fuentes</t>
  </si>
  <si>
    <t xml:space="preserve">Medio y fecha</t>
  </si>
  <si>
    <t xml:space="preserve">Enlace</t>
  </si>
  <si>
    <t xml:space="preserve">Estado de verificación</t>
  </si>
  <si>
    <t xml:space="preserve">Observaciones</t>
  </si>
  <si>
    <t xml:space="preserve">results/tablas/calidad_datos.csv</t>
  </si>
  <si>
    <t xml:space="preserve">Código de la prueba (D demanda, C candidatos, P parámetros, G coordenadas y distancias, F fuentes)</t>
  </si>
  <si>
    <t xml:space="preserve">Grupo de datos revisado</t>
  </si>
  <si>
    <t xml:space="preserve">Regla que se comprueba</t>
  </si>
  <si>
    <t xml:space="preserve">FAIL si rompe un requisito; WARNING si es una debilidad declarada</t>
  </si>
  <si>
    <t xml:space="preserve">PASS, WARNING o FAIL</t>
  </si>
  <si>
    <t xml:space="preserve">Evidencia de la prueba</t>
  </si>
</sst>
</file>

<file path=xl/styles.xml><?xml version="1.0" encoding="utf-8"?>
<styleSheet xmlns="http://schemas.openxmlformats.org/spreadsheetml/2006/main">
  <numFmts count="8">
    <numFmt numFmtId="164" formatCode="General"/>
    <numFmt numFmtId="165" formatCode="#,##0"/>
    <numFmt numFmtId="166" formatCode="0"/>
    <numFmt numFmtId="167" formatCode="0.00"/>
    <numFmt numFmtId="168" formatCode="0.0%"/>
    <numFmt numFmtId="169" formatCode="0%"/>
    <numFmt numFmtId="170" formatCode="0.0"/>
    <numFmt numFmtId="171" formatCode="\$#,##0"/>
  </numFmts>
  <fonts count="11">
    <font>
      <sz val="11"/>
      <color theme="1"/>
      <name val="Calibri"/>
      <family val="2"/>
      <charset val="1"/>
    </font>
    <font>
      <sz val="10"/>
      <name val="Arial"/>
      <family val="0"/>
    </font>
    <font>
      <sz val="10"/>
      <name val="Arial"/>
      <family val="0"/>
    </font>
    <font>
      <sz val="10"/>
      <name val="Arial"/>
      <family val="0"/>
    </font>
    <font>
      <b val="true"/>
      <sz val="12"/>
      <name val="Cambria"/>
      <family val="0"/>
      <charset val="1"/>
    </font>
    <font>
      <b val="true"/>
      <sz val="11"/>
      <color rgb="FFFFFFFF"/>
      <name val="Cambria"/>
      <family val="0"/>
      <charset val="1"/>
    </font>
    <font>
      <b val="true"/>
      <sz val="13"/>
      <name val="Arial"/>
      <family val="0"/>
      <charset val="1"/>
    </font>
    <font>
      <sz val="10"/>
      <name val="Arial"/>
      <family val="0"/>
      <charset val="1"/>
    </font>
    <font>
      <b val="true"/>
      <sz val="10"/>
      <color rgb="FFFFFFFF"/>
      <name val="Arial"/>
      <family val="0"/>
      <charset val="1"/>
    </font>
    <font>
      <sz val="10"/>
      <color rgb="FF0000FF"/>
      <name val="Arial"/>
      <family val="0"/>
      <charset val="1"/>
    </font>
    <font>
      <b val="true"/>
      <sz val="10"/>
      <name val="Arial"/>
      <family val="0"/>
      <charset val="1"/>
    </font>
  </fonts>
  <fills count="12">
    <fill>
      <patternFill patternType="none"/>
    </fill>
    <fill>
      <patternFill patternType="gray125"/>
    </fill>
    <fill>
      <patternFill patternType="solid">
        <fgColor rgb="FF1F4E78"/>
        <bgColor rgb="FF1F3864"/>
      </patternFill>
    </fill>
    <fill>
      <patternFill patternType="solid">
        <fgColor rgb="FF1F3864"/>
        <bgColor rgb="FF1F4E78"/>
      </patternFill>
    </fill>
    <fill>
      <patternFill patternType="solid">
        <fgColor rgb="FFFFFF00"/>
        <bgColor rgb="FFFFFF00"/>
      </patternFill>
    </fill>
    <fill>
      <patternFill patternType="solid">
        <fgColor rgb="FFFFE699"/>
        <bgColor rgb="FFFFEB9C"/>
      </patternFill>
    </fill>
    <fill>
      <patternFill patternType="solid">
        <fgColor rgb="FFC6E0B4"/>
        <bgColor rgb="FFC6EFCE"/>
      </patternFill>
    </fill>
    <fill>
      <patternFill patternType="solid">
        <fgColor rgb="FFDDEBF7"/>
        <bgColor rgb="FFC6EFCE"/>
      </patternFill>
    </fill>
    <fill>
      <patternFill patternType="solid">
        <fgColor rgb="FFFFF2CC"/>
        <bgColor rgb="FFFFEB9C"/>
      </patternFill>
    </fill>
    <fill>
      <patternFill patternType="solid">
        <fgColor rgb="FFF8CBAD"/>
        <bgColor rgb="FFFFE699"/>
      </patternFill>
    </fill>
    <fill>
      <patternFill patternType="solid">
        <fgColor rgb="FFC6EFCE"/>
        <bgColor rgb="FFC6E0B4"/>
      </patternFill>
    </fill>
    <fill>
      <patternFill patternType="solid">
        <fgColor rgb="FFFFEB9C"/>
        <bgColor rgb="FFFFE69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9" fillId="4" borderId="1" xfId="0" applyFont="true" applyBorder="true" applyAlignment="true" applyProtection="false">
      <alignment horizontal="general" vertical="top" textRotation="0" wrapText="false" indent="0" shrinkToFit="false"/>
      <protection locked="true" hidden="false"/>
    </xf>
    <xf numFmtId="164" fontId="7" fillId="5" borderId="1" xfId="0" applyFont="true" applyBorder="true" applyAlignment="true" applyProtection="false">
      <alignment horizontal="general" vertical="top" textRotation="0" wrapText="false" indent="0" shrinkToFit="false"/>
      <protection locked="true" hidden="false"/>
    </xf>
    <xf numFmtId="166" fontId="9" fillId="0" borderId="1" xfId="0" applyFont="true" applyBorder="true" applyAlignment="true" applyProtection="false">
      <alignment horizontal="general" vertical="top" textRotation="0" wrapText="false" indent="0" shrinkToFit="false"/>
      <protection locked="true" hidden="false"/>
    </xf>
    <xf numFmtId="165" fontId="9" fillId="0" borderId="1" xfId="0" applyFont="true" applyBorder="true" applyAlignment="true" applyProtection="false">
      <alignment horizontal="general" vertical="top" textRotation="0" wrapText="false" indent="0" shrinkToFit="false"/>
      <protection locked="true" hidden="false"/>
    </xf>
    <xf numFmtId="164" fontId="7" fillId="6" borderId="1" xfId="0" applyFont="true" applyBorder="true" applyAlignment="true" applyProtection="false">
      <alignment horizontal="general" vertical="top" textRotation="0" wrapText="false" indent="0" shrinkToFit="false"/>
      <protection locked="true" hidden="false"/>
    </xf>
    <xf numFmtId="167" fontId="9" fillId="0" borderId="1" xfId="0" applyFont="true" applyBorder="true" applyAlignment="true" applyProtection="false">
      <alignment horizontal="general" vertical="top" textRotation="0" wrapText="false" indent="0" shrinkToFit="false"/>
      <protection locked="true" hidden="false"/>
    </xf>
    <xf numFmtId="168" fontId="9" fillId="0" borderId="1" xfId="0" applyFont="true" applyBorder="true" applyAlignment="true" applyProtection="false">
      <alignment horizontal="general" vertical="top" textRotation="0" wrapText="false" indent="0" shrinkToFit="false"/>
      <protection locked="true" hidden="false"/>
    </xf>
    <xf numFmtId="169" fontId="9" fillId="0" borderId="1" xfId="0" applyFont="true" applyBorder="true" applyAlignment="true" applyProtection="false">
      <alignment horizontal="general" vertical="top" textRotation="0" wrapText="false" indent="0" shrinkToFit="false"/>
      <protection locked="true" hidden="false"/>
    </xf>
    <xf numFmtId="170" fontId="9" fillId="0" borderId="1" xfId="0" applyFont="true" applyBorder="tru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4" fontId="10" fillId="5" borderId="0" xfId="0" applyFont="true" applyBorder="false" applyAlignment="true" applyProtection="false">
      <alignment horizontal="center" vertical="bottom" textRotation="0" wrapText="false" indent="0" shrinkToFit="false"/>
      <protection locked="true" hidden="false"/>
    </xf>
    <xf numFmtId="164" fontId="10" fillId="6" borderId="0" xfId="0" applyFont="true" applyBorder="false" applyAlignment="true" applyProtection="false">
      <alignment horizontal="center" vertical="bottom" textRotation="0" wrapText="false" indent="0" shrinkToFit="false"/>
      <protection locked="true" hidden="false"/>
    </xf>
    <xf numFmtId="164" fontId="10" fillId="7" borderId="0" xfId="0" applyFont="true" applyBorder="fals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general" vertical="bottom" textRotation="0" wrapText="false" indent="0" shrinkToFit="false"/>
      <protection locked="true" hidden="false"/>
    </xf>
    <xf numFmtId="168" fontId="7" fillId="0" borderId="1" xfId="0" applyFont="true" applyBorder="true" applyAlignment="tru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general" vertical="bottom" textRotation="0" wrapText="false" indent="0" shrinkToFit="false"/>
      <protection locked="true" hidden="false"/>
    </xf>
    <xf numFmtId="171" fontId="7" fillId="0"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0" fillId="7" borderId="1" xfId="0" applyFont="true" applyBorder="true" applyAlignment="true" applyProtection="false">
      <alignment horizontal="general" vertical="bottom" textRotation="0" wrapText="false" indent="0" shrinkToFit="false"/>
      <protection locked="true" hidden="false"/>
    </xf>
    <xf numFmtId="169" fontId="7" fillId="0" borderId="1" xfId="0" applyFont="true" applyBorder="true" applyAlignment="true" applyProtection="false">
      <alignment horizontal="general" vertical="bottom" textRotation="0" wrapText="false" indent="0" shrinkToFit="false"/>
      <protection locked="true" hidden="false"/>
    </xf>
    <xf numFmtId="164" fontId="0" fillId="6" borderId="1" xfId="0" applyFont="true" applyBorder="tru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bottom" textRotation="0" wrapText="true" indent="0" shrinkToFit="false"/>
      <protection locked="true" hidden="false"/>
    </xf>
    <xf numFmtId="165" fontId="10" fillId="0" borderId="0" xfId="0" applyFont="true" applyBorder="false" applyAlignment="tru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9" borderId="0" xfId="0" applyFont="true" applyBorder="false" applyAlignment="false" applyProtection="false">
      <alignment horizontal="general" vertical="bottom" textRotation="0" wrapText="false" indent="0" shrinkToFit="false"/>
      <protection locked="true" hidden="false"/>
    </xf>
    <xf numFmtId="164" fontId="0" fillId="10" borderId="0" xfId="0" applyFont="true" applyBorder="false" applyAlignment="false" applyProtection="false">
      <alignment horizontal="general" vertical="bottom" textRotation="0" wrapText="false" indent="0" shrinkToFit="false"/>
      <protection locked="true" hidden="false"/>
    </xf>
    <xf numFmtId="164" fontId="0" fillId="11"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6E0B4"/>
      <rgbColor rgb="FF000080"/>
      <rgbColor rgb="FFFF00FF"/>
      <rgbColor rgb="FFFFFF00"/>
      <rgbColor rgb="FF00FFFF"/>
      <rgbColor rgb="FF800080"/>
      <rgbColor rgb="FF800000"/>
      <rgbColor rgb="FF008080"/>
      <rgbColor rgb="FF0000FF"/>
      <rgbColor rgb="FF00CCFF"/>
      <rgbColor rgb="FFFFE699"/>
      <rgbColor rgb="FFC6EFCE"/>
      <rgbColor rgb="FFFFEB9C"/>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0"/>
  </cols>
  <sheetData>
    <row r="1" customFormat="false" ht="15" hidden="false" customHeight="false" outlineLevel="0" collapsed="false">
      <c r="A1" s="1" t="s">
        <v>0</v>
      </c>
    </row>
    <row r="4" customFormat="false" ht="15" hidden="false" customHeight="false" outlineLevel="0" collapsed="false">
      <c r="A4" s="2" t="s">
        <v>1</v>
      </c>
      <c r="B4" s="2" t="s">
        <v>2</v>
      </c>
    </row>
    <row r="5" customFormat="false" ht="15" hidden="false" customHeight="false" outlineLevel="0" collapsed="false">
      <c r="A5" s="0" t="s">
        <v>3</v>
      </c>
      <c r="B5" s="0" t="s">
        <v>4</v>
      </c>
    </row>
    <row r="6" customFormat="false" ht="15" hidden="false" customHeight="false" outlineLevel="0" collapsed="false">
      <c r="A6" s="0" t="s">
        <v>5</v>
      </c>
      <c r="B6" s="0" t="s">
        <v>6</v>
      </c>
    </row>
    <row r="7" customFormat="false" ht="15" hidden="false" customHeight="false" outlineLevel="0" collapsed="false">
      <c r="A7" s="0" t="s">
        <v>7</v>
      </c>
      <c r="B7" s="0" t="s">
        <v>8</v>
      </c>
    </row>
    <row r="8" customFormat="false" ht="15" hidden="false" customHeight="false" outlineLevel="0" collapsed="false">
      <c r="A8" s="0" t="s">
        <v>9</v>
      </c>
      <c r="B8" s="0" t="s">
        <v>10</v>
      </c>
    </row>
    <row r="9" customFormat="false" ht="15" hidden="false" customHeight="false" outlineLevel="0" collapsed="false">
      <c r="A9" s="0" t="s">
        <v>11</v>
      </c>
      <c r="B9" s="0" t="s">
        <v>12</v>
      </c>
    </row>
    <row r="10" customFormat="false" ht="15" hidden="false" customHeight="false" outlineLevel="0" collapsed="false">
      <c r="A10" s="0" t="s">
        <v>13</v>
      </c>
      <c r="B10" s="0" t="s">
        <v>14</v>
      </c>
    </row>
    <row r="11" customFormat="false" ht="15" hidden="false" customHeight="false" outlineLevel="0" collapsed="false">
      <c r="A11" s="0" t="s">
        <v>15</v>
      </c>
      <c r="B11" s="0" t="s">
        <v>16</v>
      </c>
    </row>
    <row r="12" customFormat="false" ht="15" hidden="false" customHeight="false" outlineLevel="0" collapsed="false">
      <c r="A12" s="0" t="s">
        <v>17</v>
      </c>
      <c r="B12" s="0" t="s">
        <v>18</v>
      </c>
    </row>
    <row r="13" customFormat="false" ht="15" hidden="false" customHeight="false" outlineLevel="0" collapsed="false">
      <c r="A13" s="0" t="s">
        <v>19</v>
      </c>
      <c r="B13" s="0" t="s">
        <v>20</v>
      </c>
    </row>
    <row r="14" customFormat="false" ht="15" hidden="false" customHeight="false" outlineLevel="0" collapsed="false">
      <c r="A14" s="0" t="s">
        <v>21</v>
      </c>
      <c r="B14" s="0" t="s">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3" width="7"/>
    <col collapsed="false" customWidth="true" hidden="false" outlineLevel="0" max="2" min="2" style="3" width="44"/>
    <col collapsed="false" customWidth="true" hidden="false" outlineLevel="0" max="3" min="3" style="3" width="14"/>
    <col collapsed="false" customWidth="true" hidden="false" outlineLevel="0" max="4" min="4" style="3" width="16"/>
    <col collapsed="false" customWidth="true" hidden="false" outlineLevel="0" max="5" min="5" style="3" width="11"/>
    <col collapsed="false" customWidth="true" hidden="false" outlineLevel="0" max="6" min="6" style="3" width="90"/>
  </cols>
  <sheetData>
    <row r="1" customFormat="false" ht="15.75" hidden="false" customHeight="true" outlineLevel="0" collapsed="false">
      <c r="A1" s="4" t="s">
        <v>23</v>
      </c>
    </row>
    <row r="2" customFormat="false" ht="15" hidden="false" customHeight="true" outlineLevel="0" collapsed="false">
      <c r="A2" s="5" t="s">
        <v>24</v>
      </c>
    </row>
    <row r="4" customFormat="false" ht="15" hidden="false" customHeight="true" outlineLevel="0" collapsed="false">
      <c r="A4" s="6" t="s">
        <v>25</v>
      </c>
      <c r="B4" s="6" t="s">
        <v>26</v>
      </c>
      <c r="C4" s="6" t="s">
        <v>27</v>
      </c>
      <c r="D4" s="6" t="s">
        <v>28</v>
      </c>
      <c r="E4" s="6" t="s">
        <v>29</v>
      </c>
      <c r="F4" s="6" t="s">
        <v>30</v>
      </c>
    </row>
    <row r="5" customFormat="false" ht="23.25" hidden="false" customHeight="true" outlineLevel="0" collapsed="false">
      <c r="A5" s="7" t="s">
        <v>31</v>
      </c>
      <c r="B5" s="8" t="s">
        <v>32</v>
      </c>
      <c r="C5" s="9" t="n">
        <v>200000</v>
      </c>
      <c r="D5" s="7" t="s">
        <v>33</v>
      </c>
      <c r="E5" s="10" t="s">
        <v>34</v>
      </c>
      <c r="F5" s="8" t="s">
        <v>35</v>
      </c>
    </row>
    <row r="6" customFormat="false" ht="15" hidden="false" customHeight="true" outlineLevel="0" collapsed="false">
      <c r="A6" s="7" t="s">
        <v>36</v>
      </c>
      <c r="B6" s="8" t="s">
        <v>37</v>
      </c>
      <c r="C6" s="11" t="n">
        <v>3</v>
      </c>
      <c r="D6" s="7" t="s">
        <v>38</v>
      </c>
      <c r="E6" s="10" t="s">
        <v>34</v>
      </c>
      <c r="F6" s="8" t="s">
        <v>39</v>
      </c>
    </row>
    <row r="7" customFormat="false" ht="23.25" hidden="false" customHeight="true" outlineLevel="0" collapsed="false">
      <c r="A7" s="7" t="s">
        <v>40</v>
      </c>
      <c r="B7" s="8" t="s">
        <v>41</v>
      </c>
      <c r="C7" s="12" t="n">
        <v>60000</v>
      </c>
      <c r="D7" s="7" t="s">
        <v>42</v>
      </c>
      <c r="E7" s="10" t="s">
        <v>34</v>
      </c>
      <c r="F7" s="8" t="s">
        <v>43</v>
      </c>
    </row>
    <row r="8" customFormat="false" ht="15" hidden="false" customHeight="true" outlineLevel="0" collapsed="false">
      <c r="A8" s="7" t="s">
        <v>44</v>
      </c>
      <c r="B8" s="8" t="s">
        <v>45</v>
      </c>
      <c r="C8" s="12" t="n">
        <v>500</v>
      </c>
      <c r="D8" s="7" t="s">
        <v>46</v>
      </c>
      <c r="E8" s="13" t="s">
        <v>47</v>
      </c>
      <c r="F8" s="8" t="s">
        <v>48</v>
      </c>
    </row>
    <row r="9" customFormat="false" ht="15" hidden="false" customHeight="true" outlineLevel="0" collapsed="false">
      <c r="A9" s="7" t="s">
        <v>49</v>
      </c>
      <c r="B9" s="8" t="s">
        <v>50</v>
      </c>
      <c r="C9" s="14" t="n">
        <v>0.85</v>
      </c>
      <c r="D9" s="7" t="s">
        <v>51</v>
      </c>
      <c r="E9" s="10" t="s">
        <v>34</v>
      </c>
      <c r="F9" s="8" t="s">
        <v>52</v>
      </c>
    </row>
    <row r="10" customFormat="false" ht="15" hidden="false" customHeight="true" outlineLevel="0" collapsed="false">
      <c r="A10" s="7" t="s">
        <v>53</v>
      </c>
      <c r="B10" s="8" t="s">
        <v>54</v>
      </c>
      <c r="C10" s="14" t="n">
        <v>1</v>
      </c>
      <c r="D10" s="7" t="s">
        <v>51</v>
      </c>
      <c r="E10" s="10" t="s">
        <v>34</v>
      </c>
      <c r="F10" s="8" t="s">
        <v>55</v>
      </c>
    </row>
    <row r="11" customFormat="false" ht="15" hidden="false" customHeight="true" outlineLevel="0" collapsed="false">
      <c r="A11" s="7" t="s">
        <v>56</v>
      </c>
      <c r="B11" s="8" t="s">
        <v>57</v>
      </c>
      <c r="C11" s="14" t="n">
        <v>1.15</v>
      </c>
      <c r="D11" s="7" t="s">
        <v>51</v>
      </c>
      <c r="E11" s="10" t="s">
        <v>34</v>
      </c>
      <c r="F11" s="8" t="s">
        <v>58</v>
      </c>
    </row>
    <row r="12" customFormat="false" ht="15" hidden="false" customHeight="true" outlineLevel="0" collapsed="false">
      <c r="A12" s="7" t="s">
        <v>59</v>
      </c>
      <c r="B12" s="8" t="s">
        <v>60</v>
      </c>
      <c r="C12" s="12" t="n">
        <v>3000</v>
      </c>
      <c r="D12" s="7" t="s">
        <v>61</v>
      </c>
      <c r="E12" s="13" t="s">
        <v>47</v>
      </c>
      <c r="F12" s="8" t="s">
        <v>62</v>
      </c>
    </row>
    <row r="13" customFormat="false" ht="15" hidden="false" customHeight="true" outlineLevel="0" collapsed="false">
      <c r="A13" s="7" t="s">
        <v>63</v>
      </c>
      <c r="B13" s="8" t="s">
        <v>64</v>
      </c>
      <c r="C13" s="12" t="n">
        <v>1000</v>
      </c>
      <c r="D13" s="7" t="s">
        <v>61</v>
      </c>
      <c r="E13" s="13" t="s">
        <v>47</v>
      </c>
      <c r="F13" s="8" t="s">
        <v>62</v>
      </c>
    </row>
    <row r="14" customFormat="false" ht="15" hidden="false" customHeight="true" outlineLevel="0" collapsed="false">
      <c r="A14" s="7" t="s">
        <v>65</v>
      </c>
      <c r="B14" s="8" t="s">
        <v>66</v>
      </c>
      <c r="C14" s="12" t="n">
        <v>500</v>
      </c>
      <c r="D14" s="7" t="s">
        <v>61</v>
      </c>
      <c r="E14" s="13" t="s">
        <v>47</v>
      </c>
      <c r="F14" s="8" t="s">
        <v>62</v>
      </c>
    </row>
    <row r="15" customFormat="false" ht="15" hidden="false" customHeight="true" outlineLevel="0" collapsed="false">
      <c r="A15" s="7" t="s">
        <v>67</v>
      </c>
      <c r="B15" s="8" t="s">
        <v>68</v>
      </c>
      <c r="C15" s="12" t="n">
        <v>200000</v>
      </c>
      <c r="D15" s="7" t="s">
        <v>69</v>
      </c>
      <c r="E15" s="10" t="s">
        <v>34</v>
      </c>
      <c r="F15" s="8" t="s">
        <v>70</v>
      </c>
    </row>
    <row r="16" customFormat="false" ht="15" hidden="false" customHeight="true" outlineLevel="0" collapsed="false">
      <c r="A16" s="7" t="s">
        <v>71</v>
      </c>
      <c r="B16" s="8" t="s">
        <v>72</v>
      </c>
      <c r="C16" s="12" t="n">
        <v>100000</v>
      </c>
      <c r="D16" s="7" t="s">
        <v>69</v>
      </c>
      <c r="E16" s="10" t="s">
        <v>34</v>
      </c>
      <c r="F16" s="8" t="s">
        <v>73</v>
      </c>
    </row>
    <row r="17" customFormat="false" ht="15" hidden="false" customHeight="true" outlineLevel="0" collapsed="false">
      <c r="A17" s="7" t="s">
        <v>74</v>
      </c>
      <c r="B17" s="8" t="s">
        <v>75</v>
      </c>
      <c r="C17" s="12" t="n">
        <v>250</v>
      </c>
      <c r="D17" s="7" t="s">
        <v>76</v>
      </c>
      <c r="E17" s="10" t="s">
        <v>34</v>
      </c>
      <c r="F17" s="8" t="s">
        <v>77</v>
      </c>
    </row>
    <row r="18" customFormat="false" ht="15" hidden="false" customHeight="true" outlineLevel="0" collapsed="false">
      <c r="A18" s="7" t="s">
        <v>78</v>
      </c>
      <c r="B18" s="8" t="s">
        <v>79</v>
      </c>
      <c r="C18" s="15" t="n">
        <v>0.05</v>
      </c>
      <c r="D18" s="7" t="s">
        <v>80</v>
      </c>
      <c r="E18" s="10" t="s">
        <v>34</v>
      </c>
      <c r="F18" s="8" t="s">
        <v>81</v>
      </c>
    </row>
    <row r="19" customFormat="false" ht="15" hidden="false" customHeight="true" outlineLevel="0" collapsed="false">
      <c r="A19" s="7" t="s">
        <v>82</v>
      </c>
      <c r="B19" s="8" t="s">
        <v>83</v>
      </c>
      <c r="C19" s="12" t="n">
        <v>400</v>
      </c>
      <c r="D19" s="7" t="s">
        <v>76</v>
      </c>
      <c r="E19" s="10" t="s">
        <v>34</v>
      </c>
      <c r="F19" s="8" t="s">
        <v>84</v>
      </c>
    </row>
    <row r="20" customFormat="false" ht="15" hidden="false" customHeight="true" outlineLevel="0" collapsed="false">
      <c r="A20" s="7" t="s">
        <v>85</v>
      </c>
      <c r="B20" s="8" t="s">
        <v>86</v>
      </c>
      <c r="C20" s="12" t="n">
        <v>180</v>
      </c>
      <c r="D20" s="7" t="s">
        <v>87</v>
      </c>
      <c r="E20" s="13" t="s">
        <v>47</v>
      </c>
      <c r="F20" s="8" t="s">
        <v>62</v>
      </c>
    </row>
    <row r="21" customFormat="false" ht="23.25" hidden="false" customHeight="true" outlineLevel="0" collapsed="false">
      <c r="A21" s="7" t="s">
        <v>88</v>
      </c>
      <c r="B21" s="8" t="s">
        <v>89</v>
      </c>
      <c r="C21" s="16" t="n">
        <v>0.5</v>
      </c>
      <c r="D21" s="7" t="s">
        <v>80</v>
      </c>
      <c r="E21" s="13" t="s">
        <v>47</v>
      </c>
      <c r="F21" s="8" t="s">
        <v>62</v>
      </c>
    </row>
    <row r="22" customFormat="false" ht="15" hidden="false" customHeight="true" outlineLevel="0" collapsed="false">
      <c r="A22" s="7" t="s">
        <v>90</v>
      </c>
      <c r="B22" s="8" t="s">
        <v>91</v>
      </c>
      <c r="C22" s="16" t="n">
        <v>0.15</v>
      </c>
      <c r="D22" s="7" t="s">
        <v>80</v>
      </c>
      <c r="E22" s="10" t="s">
        <v>34</v>
      </c>
      <c r="F22" s="8" t="s">
        <v>92</v>
      </c>
    </row>
    <row r="23" customFormat="false" ht="15" hidden="false" customHeight="true" outlineLevel="0" collapsed="false">
      <c r="A23" s="7" t="s">
        <v>93</v>
      </c>
      <c r="B23" s="8" t="s">
        <v>94</v>
      </c>
      <c r="C23" s="16" t="n">
        <v>0.3</v>
      </c>
      <c r="D23" s="7" t="s">
        <v>80</v>
      </c>
      <c r="E23" s="10" t="s">
        <v>34</v>
      </c>
      <c r="F23" s="8" t="s">
        <v>95</v>
      </c>
    </row>
    <row r="24" customFormat="false" ht="15" hidden="false" customHeight="true" outlineLevel="0" collapsed="false">
      <c r="A24" s="7" t="s">
        <v>96</v>
      </c>
      <c r="B24" s="8" t="s">
        <v>97</v>
      </c>
      <c r="C24" s="15" t="n">
        <v>0.1</v>
      </c>
      <c r="D24" s="7" t="s">
        <v>80</v>
      </c>
      <c r="E24" s="10" t="s">
        <v>34</v>
      </c>
      <c r="F24" s="8" t="s">
        <v>98</v>
      </c>
    </row>
    <row r="25" customFormat="false" ht="15" hidden="false" customHeight="true" outlineLevel="0" collapsed="false">
      <c r="A25" s="7" t="s">
        <v>99</v>
      </c>
      <c r="B25" s="8" t="s">
        <v>100</v>
      </c>
      <c r="C25" s="15" t="n">
        <v>0.02</v>
      </c>
      <c r="D25" s="7" t="s">
        <v>80</v>
      </c>
      <c r="E25" s="10" t="s">
        <v>34</v>
      </c>
      <c r="F25" s="8" t="s">
        <v>101</v>
      </c>
    </row>
    <row r="26" customFormat="false" ht="15" hidden="false" customHeight="true" outlineLevel="0" collapsed="false">
      <c r="A26" s="7" t="s">
        <v>102</v>
      </c>
      <c r="B26" s="8" t="s">
        <v>103</v>
      </c>
      <c r="C26" s="15" t="n">
        <v>0.05</v>
      </c>
      <c r="D26" s="7" t="s">
        <v>80</v>
      </c>
      <c r="E26" s="10" t="s">
        <v>34</v>
      </c>
      <c r="F26" s="8" t="s">
        <v>104</v>
      </c>
    </row>
    <row r="27" customFormat="false" ht="15" hidden="false" customHeight="true" outlineLevel="0" collapsed="false">
      <c r="A27" s="7" t="s">
        <v>105</v>
      </c>
      <c r="B27" s="8" t="s">
        <v>106</v>
      </c>
      <c r="C27" s="15" t="n">
        <v>0.13</v>
      </c>
      <c r="D27" s="7" t="s">
        <v>80</v>
      </c>
      <c r="E27" s="10" t="s">
        <v>34</v>
      </c>
      <c r="F27" s="8" t="s">
        <v>107</v>
      </c>
    </row>
    <row r="28" customFormat="false" ht="15" hidden="false" customHeight="true" outlineLevel="0" collapsed="false">
      <c r="A28" s="7" t="s">
        <v>108</v>
      </c>
      <c r="B28" s="8" t="s">
        <v>109</v>
      </c>
      <c r="C28" s="17" t="n">
        <v>3</v>
      </c>
      <c r="D28" s="7" t="s">
        <v>110</v>
      </c>
      <c r="E28" s="10" t="s">
        <v>34</v>
      </c>
      <c r="F28" s="8" t="s">
        <v>111</v>
      </c>
    </row>
    <row r="29" customFormat="false" ht="15" hidden="false" customHeight="false" outlineLevel="0" collapsed="false">
      <c r="A29" s="3" t="s">
        <v>112</v>
      </c>
      <c r="B29" s="3" t="s">
        <v>113</v>
      </c>
      <c r="C29" s="3" t="n">
        <v>29730</v>
      </c>
      <c r="D29" s="3" t="s">
        <v>42</v>
      </c>
      <c r="E29" s="3" t="s">
        <v>114</v>
      </c>
      <c r="F29" s="3" t="s">
        <v>115</v>
      </c>
    </row>
    <row r="30" customFormat="false" ht="15" hidden="false" customHeight="false" outlineLevel="0" collapsed="false">
      <c r="A30" s="3" t="s">
        <v>116</v>
      </c>
      <c r="B30" s="3" t="s">
        <v>117</v>
      </c>
      <c r="C30" s="3" t="n">
        <v>29730</v>
      </c>
      <c r="D30" s="3" t="s">
        <v>42</v>
      </c>
      <c r="E30" s="3" t="s">
        <v>114</v>
      </c>
      <c r="F30" s="3" t="s">
        <v>115</v>
      </c>
    </row>
    <row r="31" customFormat="false" ht="15" hidden="false" customHeight="false" outlineLevel="0" collapsed="false">
      <c r="A31" s="3" t="s">
        <v>118</v>
      </c>
      <c r="B31" s="3" t="s">
        <v>119</v>
      </c>
      <c r="C31" s="3" t="n">
        <f aca="false">C7-C29-C30</f>
        <v>540</v>
      </c>
      <c r="D31" s="3" t="s">
        <v>42</v>
      </c>
      <c r="E31" s="3" t="s">
        <v>120</v>
      </c>
      <c r="F31" s="3" t="s">
        <v>121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3" width="6"/>
    <col collapsed="false" customWidth="true" hidden="false" outlineLevel="0" max="2" min="2" style="3" width="9"/>
    <col collapsed="false" customWidth="true" hidden="false" outlineLevel="0" max="3" min="3" style="3" width="22"/>
    <col collapsed="false" customWidth="true" hidden="false" outlineLevel="0" max="4" min="4" style="3" width="16"/>
    <col collapsed="false" customWidth="true" hidden="false" outlineLevel="0" max="5" min="5" style="3" width="11"/>
    <col collapsed="false" customWidth="true" hidden="false" outlineLevel="0" max="6" min="6" style="3" width="13"/>
    <col collapsed="false" customWidth="true" hidden="false" outlineLevel="0" max="7" min="7" style="3" width="10"/>
    <col collapsed="false" customWidth="true" hidden="false" outlineLevel="0" max="8" min="8" style="3" width="14"/>
    <col collapsed="false" customWidth="true" hidden="false" outlineLevel="0" max="9" min="9" style="3" width="11"/>
    <col collapsed="false" customWidth="true" hidden="false" outlineLevel="0" max="10" min="10" style="3" width="12"/>
    <col collapsed="false" customWidth="true" hidden="false" outlineLevel="0" max="11" min="11" style="3" width="11"/>
    <col collapsed="false" customWidth="true" hidden="false" outlineLevel="0" max="12" min="12" style="3" width="9"/>
    <col collapsed="false" customWidth="true" hidden="false" outlineLevel="0" max="14" min="13" style="3" width="16"/>
    <col collapsed="false" customWidth="true" hidden="false" outlineLevel="0" max="15" min="15" style="3" width="14"/>
    <col collapsed="false" customWidth="true" hidden="false" outlineLevel="0" max="16" min="16" style="3" width="12"/>
  </cols>
  <sheetData>
    <row r="1" customFormat="false" ht="15.75" hidden="false" customHeight="true" outlineLevel="0" collapsed="false">
      <c r="A1" s="4" t="s">
        <v>122</v>
      </c>
    </row>
    <row r="2" customFormat="false" ht="15" hidden="false" customHeight="true" outlineLevel="0" collapsed="false">
      <c r="A2" s="5" t="s">
        <v>123</v>
      </c>
    </row>
    <row r="4" customFormat="false" ht="15" hidden="false" customHeight="true" outlineLevel="0" collapsed="false">
      <c r="A4" s="18" t="s">
        <v>124</v>
      </c>
      <c r="B4" s="18" t="s">
        <v>124</v>
      </c>
      <c r="C4" s="18" t="s">
        <v>124</v>
      </c>
      <c r="D4" s="18" t="s">
        <v>124</v>
      </c>
      <c r="E4" s="19" t="s">
        <v>34</v>
      </c>
      <c r="F4" s="20" t="s">
        <v>47</v>
      </c>
      <c r="G4" s="20" t="s">
        <v>47</v>
      </c>
      <c r="H4" s="20" t="s">
        <v>47</v>
      </c>
      <c r="I4" s="21" t="s">
        <v>120</v>
      </c>
      <c r="J4" s="21" t="s">
        <v>120</v>
      </c>
      <c r="K4" s="20" t="s">
        <v>47</v>
      </c>
      <c r="L4" s="19" t="s">
        <v>34</v>
      </c>
      <c r="M4" s="21" t="s">
        <v>120</v>
      </c>
      <c r="N4" s="21" t="s">
        <v>120</v>
      </c>
      <c r="O4" s="19" t="s">
        <v>34</v>
      </c>
      <c r="P4" s="21" t="s">
        <v>120</v>
      </c>
    </row>
    <row r="5" customFormat="false" ht="42" hidden="false" customHeight="true" outlineLevel="0" collapsed="false">
      <c r="A5" s="6" t="s">
        <v>25</v>
      </c>
      <c r="B5" s="6" t="s">
        <v>125</v>
      </c>
      <c r="C5" s="6" t="s">
        <v>126</v>
      </c>
      <c r="D5" s="6" t="s">
        <v>127</v>
      </c>
      <c r="E5" s="6" t="s">
        <v>128</v>
      </c>
      <c r="F5" s="6" t="s">
        <v>129</v>
      </c>
      <c r="G5" s="6" t="s">
        <v>130</v>
      </c>
      <c r="H5" s="6" t="s">
        <v>131</v>
      </c>
      <c r="I5" s="6" t="s">
        <v>132</v>
      </c>
      <c r="J5" s="6" t="s">
        <v>133</v>
      </c>
      <c r="K5" s="6" t="s">
        <v>134</v>
      </c>
      <c r="L5" s="6" t="s">
        <v>135</v>
      </c>
      <c r="M5" s="6" t="s">
        <v>136</v>
      </c>
      <c r="N5" s="6" t="s">
        <v>137</v>
      </c>
      <c r="O5" s="6" t="s">
        <v>138</v>
      </c>
      <c r="P5" s="6" t="s">
        <v>139</v>
      </c>
    </row>
    <row r="6" customFormat="false" ht="15" hidden="false" customHeight="true" outlineLevel="0" collapsed="false">
      <c r="A6" s="22" t="s">
        <v>140</v>
      </c>
      <c r="B6" s="22" t="s">
        <v>141</v>
      </c>
      <c r="C6" s="22" t="s">
        <v>142</v>
      </c>
      <c r="D6" s="22" t="s">
        <v>143</v>
      </c>
      <c r="E6" s="22" t="s">
        <v>144</v>
      </c>
      <c r="F6" s="23" t="n">
        <v>382703</v>
      </c>
      <c r="G6" s="23" t="n">
        <v>74</v>
      </c>
      <c r="H6" s="23" t="n">
        <v>2411</v>
      </c>
      <c r="I6" s="24" t="n">
        <f aca="false">H6/F6</f>
        <v>0.00629992448452194</v>
      </c>
      <c r="J6" s="22" t="str">
        <f aca="false">IF(F6&gt;=Parametros!$C$15,"Grande",IF(F6&gt;=Parametros!$C$16,"Intermedia","Pequeña"))</f>
        <v>Grande</v>
      </c>
      <c r="K6" s="25" t="n">
        <f aca="false">IF(J6="Grande",Parametros!$C$12,IF(J6="Intermedia",Parametros!$C$13,Parametros!$C$14))</f>
        <v>3000</v>
      </c>
      <c r="L6" s="26" t="n">
        <f aca="false">IF(J6="Grande",Parametros!$C$9,IF(J6="Intermedia",Parametros!$C$10,Parametros!$C$11))</f>
        <v>0.85</v>
      </c>
      <c r="M6" s="27" t="n">
        <f aca="false">Parametros!$C$5*Parametros!$C$6*L6</f>
        <v>510000</v>
      </c>
      <c r="N6" s="27" t="n">
        <f aca="false">K6*M6</f>
        <v>1530000000</v>
      </c>
      <c r="O6" s="27" t="n">
        <f aca="false">Parametros!$C$7</f>
        <v>60000</v>
      </c>
      <c r="P6" s="22" t="str">
        <f aca="false">IF(AND(G6&lt;Parametros!$C$17,I6&lt;Parametros!$C$18),"Cumple","No cumple")</f>
        <v>Cumple</v>
      </c>
    </row>
    <row r="7" customFormat="false" ht="15" hidden="false" customHeight="true" outlineLevel="0" collapsed="false">
      <c r="A7" s="22" t="s">
        <v>145</v>
      </c>
      <c r="B7" s="22" t="s">
        <v>146</v>
      </c>
      <c r="C7" s="22" t="s">
        <v>147</v>
      </c>
      <c r="D7" s="22" t="s">
        <v>143</v>
      </c>
      <c r="E7" s="22" t="s">
        <v>144</v>
      </c>
      <c r="F7" s="23" t="n">
        <v>225868</v>
      </c>
      <c r="G7" s="23" t="n">
        <v>66</v>
      </c>
      <c r="H7" s="23" t="n">
        <v>2582</v>
      </c>
      <c r="I7" s="24" t="n">
        <f aca="false">H7/F7</f>
        <v>0.0114314555404041</v>
      </c>
      <c r="J7" s="22" t="str">
        <f aca="false">IF(F7&gt;=Parametros!$C$15,"Grande",IF(F7&gt;=Parametros!$C$16,"Intermedia","Pequeña"))</f>
        <v>Grande</v>
      </c>
      <c r="K7" s="25" t="n">
        <f aca="false">IF(J7="Grande",Parametros!$C$12,IF(J7="Intermedia",Parametros!$C$13,Parametros!$C$14))</f>
        <v>3000</v>
      </c>
      <c r="L7" s="26" t="n">
        <f aca="false">IF(J7="Grande",Parametros!$C$9,IF(J7="Intermedia",Parametros!$C$10,Parametros!$C$11))</f>
        <v>0.85</v>
      </c>
      <c r="M7" s="27" t="n">
        <f aca="false">Parametros!$C$5*Parametros!$C$6*L7</f>
        <v>510000</v>
      </c>
      <c r="N7" s="27" t="n">
        <f aca="false">K7*M7</f>
        <v>1530000000</v>
      </c>
      <c r="O7" s="27" t="n">
        <f aca="false">Parametros!$C$7</f>
        <v>60000</v>
      </c>
      <c r="P7" s="22" t="str">
        <f aca="false">IF(AND(G7&lt;Parametros!$C$17,I7&lt;Parametros!$C$18),"Cumple","No cumple")</f>
        <v>Cumple</v>
      </c>
    </row>
    <row r="8" customFormat="false" ht="15" hidden="false" customHeight="true" outlineLevel="0" collapsed="false">
      <c r="A8" s="22" t="s">
        <v>148</v>
      </c>
      <c r="B8" s="22" t="s">
        <v>149</v>
      </c>
      <c r="C8" s="22" t="s">
        <v>150</v>
      </c>
      <c r="D8" s="22" t="s">
        <v>143</v>
      </c>
      <c r="E8" s="22" t="s">
        <v>144</v>
      </c>
      <c r="F8" s="23" t="n">
        <v>196875</v>
      </c>
      <c r="G8" s="23" t="n">
        <v>161</v>
      </c>
      <c r="H8" s="23" t="n">
        <v>4396</v>
      </c>
      <c r="I8" s="24" t="n">
        <f aca="false">H8/F8</f>
        <v>0.0223288888888889</v>
      </c>
      <c r="J8" s="22" t="str">
        <f aca="false">IF(F8&gt;=Parametros!$C$15,"Grande",IF(F8&gt;=Parametros!$C$16,"Intermedia","Pequeña"))</f>
        <v>Intermedia</v>
      </c>
      <c r="K8" s="25" t="n">
        <f aca="false">IF(J8="Grande",Parametros!$C$12,IF(J8="Intermedia",Parametros!$C$13,Parametros!$C$14))</f>
        <v>1000</v>
      </c>
      <c r="L8" s="26" t="n">
        <f aca="false">IF(J8="Grande",Parametros!$C$9,IF(J8="Intermedia",Parametros!$C$10,Parametros!$C$11))</f>
        <v>1</v>
      </c>
      <c r="M8" s="27" t="n">
        <f aca="false">Parametros!$C$5*Parametros!$C$6*L8</f>
        <v>600000</v>
      </c>
      <c r="N8" s="27" t="n">
        <f aca="false">K8*M8</f>
        <v>600000000</v>
      </c>
      <c r="O8" s="27" t="n">
        <f aca="false">Parametros!$C$7</f>
        <v>60000</v>
      </c>
      <c r="P8" s="22" t="str">
        <f aca="false">IF(AND(G8&lt;Parametros!$C$17,I8&lt;Parametros!$C$18),"Cumple","No cumple")</f>
        <v>Cumple</v>
      </c>
    </row>
    <row r="9" customFormat="false" ht="15" hidden="false" customHeight="true" outlineLevel="0" collapsed="false">
      <c r="A9" s="22" t="s">
        <v>151</v>
      </c>
      <c r="B9" s="22" t="s">
        <v>152</v>
      </c>
      <c r="C9" s="22" t="s">
        <v>153</v>
      </c>
      <c r="D9" s="22" t="s">
        <v>143</v>
      </c>
      <c r="E9" s="22" t="s">
        <v>144</v>
      </c>
      <c r="F9" s="23" t="n">
        <v>144206</v>
      </c>
      <c r="G9" s="23" t="n">
        <v>207</v>
      </c>
      <c r="H9" s="23" t="n">
        <v>2490</v>
      </c>
      <c r="I9" s="24" t="n">
        <f aca="false">H9/F9</f>
        <v>0.0172669653135098</v>
      </c>
      <c r="J9" s="22" t="str">
        <f aca="false">IF(F9&gt;=Parametros!$C$15,"Grande",IF(F9&gt;=Parametros!$C$16,"Intermedia","Pequeña"))</f>
        <v>Intermedia</v>
      </c>
      <c r="K9" s="25" t="n">
        <f aca="false">IF(J9="Grande",Parametros!$C$12,IF(J9="Intermedia",Parametros!$C$13,Parametros!$C$14))</f>
        <v>1000</v>
      </c>
      <c r="L9" s="26" t="n">
        <f aca="false">IF(J9="Grande",Parametros!$C$9,IF(J9="Intermedia",Parametros!$C$10,Parametros!$C$11))</f>
        <v>1</v>
      </c>
      <c r="M9" s="27" t="n">
        <f aca="false">Parametros!$C$5*Parametros!$C$6*L9</f>
        <v>600000</v>
      </c>
      <c r="N9" s="27" t="n">
        <f aca="false">K9*M9</f>
        <v>600000000</v>
      </c>
      <c r="O9" s="27" t="n">
        <f aca="false">Parametros!$C$7</f>
        <v>60000</v>
      </c>
      <c r="P9" s="22" t="str">
        <f aca="false">IF(AND(G9&lt;Parametros!$C$17,I9&lt;Parametros!$C$18),"Cumple","No cumple")</f>
        <v>Cumple</v>
      </c>
    </row>
    <row r="10" customFormat="false" ht="15" hidden="false" customHeight="true" outlineLevel="0" collapsed="false">
      <c r="A10" s="22" t="s">
        <v>154</v>
      </c>
      <c r="B10" s="22" t="s">
        <v>155</v>
      </c>
      <c r="C10" s="22" t="s">
        <v>156</v>
      </c>
      <c r="D10" s="22" t="s">
        <v>143</v>
      </c>
      <c r="E10" s="22" t="s">
        <v>144</v>
      </c>
      <c r="F10" s="23" t="n">
        <v>132250</v>
      </c>
      <c r="G10" s="23" t="n">
        <v>80</v>
      </c>
      <c r="H10" s="23" t="n">
        <v>1554</v>
      </c>
      <c r="I10" s="24" t="n">
        <f aca="false">H10/F10</f>
        <v>0.0117504725897921</v>
      </c>
      <c r="J10" s="22" t="str">
        <f aca="false">IF(F10&gt;=Parametros!$C$15,"Grande",IF(F10&gt;=Parametros!$C$16,"Intermedia","Pequeña"))</f>
        <v>Intermedia</v>
      </c>
      <c r="K10" s="25" t="n">
        <f aca="false">IF(J10="Grande",Parametros!$C$12,IF(J10="Intermedia",Parametros!$C$13,Parametros!$C$14))</f>
        <v>1000</v>
      </c>
      <c r="L10" s="26" t="n">
        <f aca="false">IF(J10="Grande",Parametros!$C$9,IF(J10="Intermedia",Parametros!$C$10,Parametros!$C$11))</f>
        <v>1</v>
      </c>
      <c r="M10" s="27" t="n">
        <f aca="false">Parametros!$C$5*Parametros!$C$6*L10</f>
        <v>600000</v>
      </c>
      <c r="N10" s="27" t="n">
        <f aca="false">K10*M10</f>
        <v>600000000</v>
      </c>
      <c r="O10" s="27" t="n">
        <f aca="false">Parametros!$C$7</f>
        <v>60000</v>
      </c>
      <c r="P10" s="22" t="str">
        <f aca="false">IF(AND(G10&lt;Parametros!$C$17,I10&lt;Parametros!$C$18),"Cumple","No cumple")</f>
        <v>Cumple</v>
      </c>
    </row>
    <row r="11" customFormat="false" ht="15" hidden="false" customHeight="true" outlineLevel="0" collapsed="false">
      <c r="A11" s="22" t="s">
        <v>157</v>
      </c>
      <c r="B11" s="22" t="s">
        <v>158</v>
      </c>
      <c r="C11" s="22" t="s">
        <v>159</v>
      </c>
      <c r="D11" s="22" t="s">
        <v>143</v>
      </c>
      <c r="E11" s="22" t="s">
        <v>144</v>
      </c>
      <c r="F11" s="23" t="n">
        <v>115933</v>
      </c>
      <c r="G11" s="23" t="n">
        <v>22</v>
      </c>
      <c r="H11" s="23" t="n">
        <v>573</v>
      </c>
      <c r="I11" s="24" t="n">
        <f aca="false">H11/F11</f>
        <v>0.0049425098979583</v>
      </c>
      <c r="J11" s="22" t="str">
        <f aca="false">IF(F11&gt;=Parametros!$C$15,"Grande",IF(F11&gt;=Parametros!$C$16,"Intermedia","Pequeña"))</f>
        <v>Intermedia</v>
      </c>
      <c r="K11" s="25" t="n">
        <f aca="false">IF(J11="Grande",Parametros!$C$12,IF(J11="Intermedia",Parametros!$C$13,Parametros!$C$14))</f>
        <v>1000</v>
      </c>
      <c r="L11" s="26" t="n">
        <f aca="false">IF(J11="Grande",Parametros!$C$9,IF(J11="Intermedia",Parametros!$C$10,Parametros!$C$11))</f>
        <v>1</v>
      </c>
      <c r="M11" s="27" t="n">
        <f aca="false">Parametros!$C$5*Parametros!$C$6*L11</f>
        <v>600000</v>
      </c>
      <c r="N11" s="27" t="n">
        <f aca="false">K11*M11</f>
        <v>600000000</v>
      </c>
      <c r="O11" s="27" t="n">
        <f aca="false">Parametros!$C$7</f>
        <v>60000</v>
      </c>
      <c r="P11" s="22" t="str">
        <f aca="false">IF(AND(G11&lt;Parametros!$C$17,I11&lt;Parametros!$C$18),"Cumple","No cumple")</f>
        <v>Cumple</v>
      </c>
    </row>
    <row r="12" customFormat="false" ht="15" hidden="false" customHeight="true" outlineLevel="0" collapsed="false">
      <c r="A12" s="22" t="s">
        <v>160</v>
      </c>
      <c r="B12" s="22" t="s">
        <v>161</v>
      </c>
      <c r="C12" s="22" t="s">
        <v>162</v>
      </c>
      <c r="D12" s="22" t="s">
        <v>143</v>
      </c>
      <c r="E12" s="22" t="s">
        <v>144</v>
      </c>
      <c r="F12" s="23" t="n">
        <v>115667</v>
      </c>
      <c r="G12" s="23" t="n">
        <v>158</v>
      </c>
      <c r="H12" s="23" t="n">
        <v>2388</v>
      </c>
      <c r="I12" s="24" t="n">
        <f aca="false">H12/F12</f>
        <v>0.0206454736441682</v>
      </c>
      <c r="J12" s="22" t="str">
        <f aca="false">IF(F12&gt;=Parametros!$C$15,"Grande",IF(F12&gt;=Parametros!$C$16,"Intermedia","Pequeña"))</f>
        <v>Intermedia</v>
      </c>
      <c r="K12" s="25" t="n">
        <f aca="false">IF(J12="Grande",Parametros!$C$12,IF(J12="Intermedia",Parametros!$C$13,Parametros!$C$14))</f>
        <v>1000</v>
      </c>
      <c r="L12" s="26" t="n">
        <f aca="false">IF(J12="Grande",Parametros!$C$9,IF(J12="Intermedia",Parametros!$C$10,Parametros!$C$11))</f>
        <v>1</v>
      </c>
      <c r="M12" s="27" t="n">
        <f aca="false">Parametros!$C$5*Parametros!$C$6*L12</f>
        <v>600000</v>
      </c>
      <c r="N12" s="27" t="n">
        <f aca="false">K12*M12</f>
        <v>600000000</v>
      </c>
      <c r="O12" s="27" t="n">
        <f aca="false">Parametros!$C$7</f>
        <v>60000</v>
      </c>
      <c r="P12" s="22" t="str">
        <f aca="false">IF(AND(G12&lt;Parametros!$C$17,I12&lt;Parametros!$C$18),"Cumple","No cumple")</f>
        <v>Cumple</v>
      </c>
    </row>
    <row r="13" customFormat="false" ht="15" hidden="false" customHeight="true" outlineLevel="0" collapsed="false">
      <c r="A13" s="22" t="s">
        <v>163</v>
      </c>
      <c r="B13" s="22" t="s">
        <v>164</v>
      </c>
      <c r="C13" s="22" t="s">
        <v>165</v>
      </c>
      <c r="D13" s="22" t="s">
        <v>143</v>
      </c>
      <c r="E13" s="22" t="s">
        <v>144</v>
      </c>
      <c r="F13" s="23" t="n">
        <v>57017</v>
      </c>
      <c r="G13" s="23" t="n">
        <v>19</v>
      </c>
      <c r="H13" s="23" t="n">
        <v>986</v>
      </c>
      <c r="I13" s="24" t="n">
        <f aca="false">H13/F13</f>
        <v>0.0172930880263781</v>
      </c>
      <c r="J13" s="22" t="str">
        <f aca="false">IF(F13&gt;=Parametros!$C$15,"Grande",IF(F13&gt;=Parametros!$C$16,"Intermedia","Pequeña"))</f>
        <v>Pequeña</v>
      </c>
      <c r="K13" s="25" t="n">
        <f aca="false">IF(J13="Grande",Parametros!$C$12,IF(J13="Intermedia",Parametros!$C$13,Parametros!$C$14))</f>
        <v>500</v>
      </c>
      <c r="L13" s="26" t="n">
        <f aca="false">IF(J13="Grande",Parametros!$C$9,IF(J13="Intermedia",Parametros!$C$10,Parametros!$C$11))</f>
        <v>1.15</v>
      </c>
      <c r="M13" s="27" t="n">
        <f aca="false">Parametros!$C$5*Parametros!$C$6*L13</f>
        <v>690000</v>
      </c>
      <c r="N13" s="27" t="n">
        <f aca="false">K13*M13</f>
        <v>345000000</v>
      </c>
      <c r="O13" s="27" t="n">
        <f aca="false">Parametros!$C$7</f>
        <v>60000</v>
      </c>
      <c r="P13" s="22" t="str">
        <f aca="false">IF(AND(G13&lt;Parametros!$C$17,I13&lt;Parametros!$C$18),"Cumple","No cumple")</f>
        <v>Cumple</v>
      </c>
    </row>
    <row r="14" customFormat="false" ht="15" hidden="false" customHeight="true" outlineLevel="0" collapsed="false">
      <c r="A14" s="22" t="s">
        <v>166</v>
      </c>
      <c r="B14" s="22" t="s">
        <v>167</v>
      </c>
      <c r="C14" s="22" t="s">
        <v>168</v>
      </c>
      <c r="D14" s="22" t="s">
        <v>143</v>
      </c>
      <c r="E14" s="22" t="s">
        <v>144</v>
      </c>
      <c r="F14" s="23" t="n">
        <v>56397</v>
      </c>
      <c r="G14" s="23" t="n">
        <v>21</v>
      </c>
      <c r="H14" s="23" t="n">
        <v>537</v>
      </c>
      <c r="I14" s="24" t="n">
        <f aca="false">H14/F14</f>
        <v>0.00952178307356774</v>
      </c>
      <c r="J14" s="22" t="str">
        <f aca="false">IF(F14&gt;=Parametros!$C$15,"Grande",IF(F14&gt;=Parametros!$C$16,"Intermedia","Pequeña"))</f>
        <v>Pequeña</v>
      </c>
      <c r="K14" s="25" t="n">
        <f aca="false">IF(J14="Grande",Parametros!$C$12,IF(J14="Intermedia",Parametros!$C$13,Parametros!$C$14))</f>
        <v>500</v>
      </c>
      <c r="L14" s="26" t="n">
        <f aca="false">IF(J14="Grande",Parametros!$C$9,IF(J14="Intermedia",Parametros!$C$10,Parametros!$C$11))</f>
        <v>1.15</v>
      </c>
      <c r="M14" s="27" t="n">
        <f aca="false">Parametros!$C$5*Parametros!$C$6*L14</f>
        <v>690000</v>
      </c>
      <c r="N14" s="27" t="n">
        <f aca="false">K14*M14</f>
        <v>345000000</v>
      </c>
      <c r="O14" s="27" t="n">
        <f aca="false">Parametros!$C$7</f>
        <v>60000</v>
      </c>
      <c r="P14" s="22" t="str">
        <f aca="false">IF(AND(G14&lt;Parametros!$C$17,I14&lt;Parametros!$C$18),"Cumple","No cumple")</f>
        <v>Cumple</v>
      </c>
    </row>
    <row r="15" customFormat="false" ht="15" hidden="false" customHeight="true" outlineLevel="0" collapsed="false">
      <c r="A15" s="22" t="s">
        <v>169</v>
      </c>
      <c r="B15" s="22" t="s">
        <v>170</v>
      </c>
      <c r="C15" s="22" t="s">
        <v>171</v>
      </c>
      <c r="D15" s="22" t="s">
        <v>143</v>
      </c>
      <c r="E15" s="22" t="s">
        <v>144</v>
      </c>
      <c r="F15" s="23" t="n">
        <v>50067</v>
      </c>
      <c r="G15" s="23" t="n">
        <v>16</v>
      </c>
      <c r="H15" s="23" t="n">
        <v>742</v>
      </c>
      <c r="I15" s="24" t="n">
        <f aca="false">H15/F15</f>
        <v>0.0148201410110452</v>
      </c>
      <c r="J15" s="22" t="str">
        <f aca="false">IF(F15&gt;=Parametros!$C$15,"Grande",IF(F15&gt;=Parametros!$C$16,"Intermedia","Pequeña"))</f>
        <v>Pequeña</v>
      </c>
      <c r="K15" s="25" t="n">
        <f aca="false">IF(J15="Grande",Parametros!$C$12,IF(J15="Intermedia",Parametros!$C$13,Parametros!$C$14))</f>
        <v>500</v>
      </c>
      <c r="L15" s="26" t="n">
        <f aca="false">IF(J15="Grande",Parametros!$C$9,IF(J15="Intermedia",Parametros!$C$10,Parametros!$C$11))</f>
        <v>1.15</v>
      </c>
      <c r="M15" s="27" t="n">
        <f aca="false">Parametros!$C$5*Parametros!$C$6*L15</f>
        <v>690000</v>
      </c>
      <c r="N15" s="27" t="n">
        <f aca="false">K15*M15</f>
        <v>345000000</v>
      </c>
      <c r="O15" s="27" t="n">
        <f aca="false">Parametros!$C$7</f>
        <v>60000</v>
      </c>
      <c r="P15" s="22" t="str">
        <f aca="false">IF(AND(G15&lt;Parametros!$C$17,I15&lt;Parametros!$C$18),"Cumple","No cumple")</f>
        <v>Cumple</v>
      </c>
    </row>
    <row r="16" customFormat="false" ht="15" hidden="false" customHeight="true" outlineLevel="0" collapsed="false">
      <c r="A16" s="22" t="s">
        <v>172</v>
      </c>
      <c r="B16" s="22" t="s">
        <v>173</v>
      </c>
      <c r="C16" s="22" t="s">
        <v>174</v>
      </c>
      <c r="D16" s="22" t="s">
        <v>143</v>
      </c>
      <c r="E16" s="22" t="s">
        <v>144</v>
      </c>
      <c r="F16" s="23" t="n">
        <v>34739</v>
      </c>
      <c r="G16" s="23" t="n">
        <v>47</v>
      </c>
      <c r="H16" s="23" t="n">
        <v>373</v>
      </c>
      <c r="I16" s="24" t="n">
        <f aca="false">H16/F16</f>
        <v>0.0107372117792683</v>
      </c>
      <c r="J16" s="22" t="str">
        <f aca="false">IF(F16&gt;=Parametros!$C$15,"Grande",IF(F16&gt;=Parametros!$C$16,"Intermedia","Pequeña"))</f>
        <v>Pequeña</v>
      </c>
      <c r="K16" s="25" t="n">
        <f aca="false">IF(J16="Grande",Parametros!$C$12,IF(J16="Intermedia",Parametros!$C$13,Parametros!$C$14))</f>
        <v>500</v>
      </c>
      <c r="L16" s="26" t="n">
        <f aca="false">IF(J16="Grande",Parametros!$C$9,IF(J16="Intermedia",Parametros!$C$10,Parametros!$C$11))</f>
        <v>1.15</v>
      </c>
      <c r="M16" s="27" t="n">
        <f aca="false">Parametros!$C$5*Parametros!$C$6*L16</f>
        <v>690000</v>
      </c>
      <c r="N16" s="27" t="n">
        <f aca="false">K16*M16</f>
        <v>345000000</v>
      </c>
      <c r="O16" s="27" t="n">
        <f aca="false">Parametros!$C$7</f>
        <v>60000</v>
      </c>
      <c r="P16" s="22" t="str">
        <f aca="false">IF(AND(G16&lt;Parametros!$C$17,I16&lt;Parametros!$C$18),"Cumple","No cumple")</f>
        <v>Cumple</v>
      </c>
    </row>
    <row r="17" customFormat="false" ht="15" hidden="false" customHeight="true" outlineLevel="0" collapsed="false">
      <c r="A17" s="22" t="s">
        <v>175</v>
      </c>
      <c r="B17" s="22" t="s">
        <v>176</v>
      </c>
      <c r="C17" s="22" t="s">
        <v>177</v>
      </c>
      <c r="D17" s="22" t="s">
        <v>143</v>
      </c>
      <c r="E17" s="22" t="s">
        <v>144</v>
      </c>
      <c r="F17" s="23" t="n">
        <v>24545</v>
      </c>
      <c r="G17" s="23" t="n">
        <v>14</v>
      </c>
      <c r="H17" s="23" t="n">
        <v>740</v>
      </c>
      <c r="I17" s="24" t="n">
        <f aca="false">H17/F17</f>
        <v>0.030148706457527</v>
      </c>
      <c r="J17" s="22" t="str">
        <f aca="false">IF(F17&gt;=Parametros!$C$15,"Grande",IF(F17&gt;=Parametros!$C$16,"Intermedia","Pequeña"))</f>
        <v>Pequeña</v>
      </c>
      <c r="K17" s="25" t="n">
        <f aca="false">IF(J17="Grande",Parametros!$C$12,IF(J17="Intermedia",Parametros!$C$13,Parametros!$C$14))</f>
        <v>500</v>
      </c>
      <c r="L17" s="26" t="n">
        <f aca="false">IF(J17="Grande",Parametros!$C$9,IF(J17="Intermedia",Parametros!$C$10,Parametros!$C$11))</f>
        <v>1.15</v>
      </c>
      <c r="M17" s="27" t="n">
        <f aca="false">Parametros!$C$5*Parametros!$C$6*L17</f>
        <v>690000</v>
      </c>
      <c r="N17" s="27" t="n">
        <f aca="false">K17*M17</f>
        <v>345000000</v>
      </c>
      <c r="O17" s="27" t="n">
        <f aca="false">Parametros!$C$7</f>
        <v>60000</v>
      </c>
      <c r="P17" s="22" t="str">
        <f aca="false">IF(AND(G17&lt;Parametros!$C$17,I17&lt;Parametros!$C$18),"Cumple","No cumple")</f>
        <v>Cumple</v>
      </c>
    </row>
    <row r="18" customFormat="false" ht="15" hidden="false" customHeight="true" outlineLevel="0" collapsed="false">
      <c r="A18" s="22" t="s">
        <v>178</v>
      </c>
      <c r="B18" s="22" t="s">
        <v>179</v>
      </c>
      <c r="C18" s="22" t="s">
        <v>180</v>
      </c>
      <c r="D18" s="22" t="s">
        <v>181</v>
      </c>
      <c r="E18" s="22" t="s">
        <v>144</v>
      </c>
      <c r="F18" s="23" t="n">
        <v>50452</v>
      </c>
      <c r="G18" s="23" t="n">
        <v>229</v>
      </c>
      <c r="H18" s="23" t="n">
        <v>1619</v>
      </c>
      <c r="I18" s="24" t="n">
        <f aca="false">H18/F18</f>
        <v>0.0320899072385634</v>
      </c>
      <c r="J18" s="22" t="str">
        <f aca="false">IF(F18&gt;=Parametros!$C$15,"Grande",IF(F18&gt;=Parametros!$C$16,"Intermedia","Pequeña"))</f>
        <v>Pequeña</v>
      </c>
      <c r="K18" s="25" t="n">
        <f aca="false">IF(J18="Grande",Parametros!$C$12,IF(J18="Intermedia",Parametros!$C$13,Parametros!$C$14))</f>
        <v>500</v>
      </c>
      <c r="L18" s="26" t="n">
        <f aca="false">IF(J18="Grande",Parametros!$C$9,IF(J18="Intermedia",Parametros!$C$10,Parametros!$C$11))</f>
        <v>1.15</v>
      </c>
      <c r="M18" s="27" t="n">
        <f aca="false">Parametros!$C$5*Parametros!$C$6*L18</f>
        <v>690000</v>
      </c>
      <c r="N18" s="27" t="n">
        <f aca="false">K18*M18</f>
        <v>345000000</v>
      </c>
      <c r="O18" s="27" t="n">
        <f aca="false">Parametros!$C$7</f>
        <v>60000</v>
      </c>
      <c r="P18" s="22" t="str">
        <f aca="false">IF(AND(G18&lt;Parametros!$C$17,I18&lt;Parametros!$C$18),"Cumple","No cumple")</f>
        <v>Cumple</v>
      </c>
    </row>
    <row r="19" customFormat="false" ht="15" hidden="false" customHeight="true" outlineLevel="0" collapsed="false">
      <c r="A19" s="22" t="s">
        <v>182</v>
      </c>
      <c r="B19" s="22" t="s">
        <v>183</v>
      </c>
      <c r="C19" s="22" t="s">
        <v>184</v>
      </c>
      <c r="D19" s="22" t="s">
        <v>181</v>
      </c>
      <c r="E19" s="22" t="s">
        <v>144</v>
      </c>
      <c r="F19" s="23" t="n">
        <v>31774</v>
      </c>
      <c r="G19" s="23" t="n">
        <v>15</v>
      </c>
      <c r="H19" s="23" t="n">
        <v>906</v>
      </c>
      <c r="I19" s="24" t="n">
        <f aca="false">H19/F19</f>
        <v>0.0285138792723611</v>
      </c>
      <c r="J19" s="22" t="str">
        <f aca="false">IF(F19&gt;=Parametros!$C$15,"Grande",IF(F19&gt;=Parametros!$C$16,"Intermedia","Pequeña"))</f>
        <v>Pequeña</v>
      </c>
      <c r="K19" s="25" t="n">
        <f aca="false">IF(J19="Grande",Parametros!$C$12,IF(J19="Intermedia",Parametros!$C$13,Parametros!$C$14))</f>
        <v>500</v>
      </c>
      <c r="L19" s="26" t="n">
        <f aca="false">IF(J19="Grande",Parametros!$C$9,IF(J19="Intermedia",Parametros!$C$10,Parametros!$C$11))</f>
        <v>1.15</v>
      </c>
      <c r="M19" s="27" t="n">
        <f aca="false">Parametros!$C$5*Parametros!$C$6*L19</f>
        <v>690000</v>
      </c>
      <c r="N19" s="27" t="n">
        <f aca="false">K19*M19</f>
        <v>345000000</v>
      </c>
      <c r="O19" s="27" t="n">
        <f aca="false">Parametros!$C$7</f>
        <v>60000</v>
      </c>
      <c r="P19" s="22" t="str">
        <f aca="false">IF(AND(G19&lt;Parametros!$C$17,I19&lt;Parametros!$C$18),"Cumple","No cumple")</f>
        <v>Cumple</v>
      </c>
    </row>
    <row r="20" customFormat="false" ht="15" hidden="false" customHeight="true" outlineLevel="0" collapsed="false">
      <c r="A20" s="22" t="s">
        <v>185</v>
      </c>
      <c r="B20" s="22" t="s">
        <v>186</v>
      </c>
      <c r="C20" s="22" t="s">
        <v>187</v>
      </c>
      <c r="D20" s="22" t="s">
        <v>181</v>
      </c>
      <c r="E20" s="22" t="s">
        <v>144</v>
      </c>
      <c r="F20" s="23" t="n">
        <v>22301</v>
      </c>
      <c r="G20" s="23" t="n">
        <v>29</v>
      </c>
      <c r="H20" s="23" t="n">
        <v>1017</v>
      </c>
      <c r="I20" s="24" t="n">
        <f aca="false">H20/F20</f>
        <v>0.0456033361732658</v>
      </c>
      <c r="J20" s="22" t="str">
        <f aca="false">IF(F20&gt;=Parametros!$C$15,"Grande",IF(F20&gt;=Parametros!$C$16,"Intermedia","Pequeña"))</f>
        <v>Pequeña</v>
      </c>
      <c r="K20" s="25" t="n">
        <f aca="false">IF(J20="Grande",Parametros!$C$12,IF(J20="Intermedia",Parametros!$C$13,Parametros!$C$14))</f>
        <v>500</v>
      </c>
      <c r="L20" s="26" t="n">
        <f aca="false">IF(J20="Grande",Parametros!$C$9,IF(J20="Intermedia",Parametros!$C$10,Parametros!$C$11))</f>
        <v>1.15</v>
      </c>
      <c r="M20" s="27" t="n">
        <f aca="false">Parametros!$C$5*Parametros!$C$6*L20</f>
        <v>690000</v>
      </c>
      <c r="N20" s="27" t="n">
        <f aca="false">K20*M20</f>
        <v>345000000</v>
      </c>
      <c r="O20" s="27" t="n">
        <f aca="false">Parametros!$C$7</f>
        <v>60000</v>
      </c>
      <c r="P20" s="22" t="str">
        <f aca="false">IF(AND(G20&lt;Parametros!$C$17,I20&lt;Parametros!$C$18),"Cumple","No cumple")</f>
        <v>Cumple</v>
      </c>
    </row>
    <row r="21" customFormat="false" ht="15" hidden="false" customHeight="true" outlineLevel="0" collapsed="false">
      <c r="A21" s="22" t="s">
        <v>188</v>
      </c>
      <c r="B21" s="22" t="s">
        <v>189</v>
      </c>
      <c r="C21" s="22" t="s">
        <v>190</v>
      </c>
      <c r="D21" s="22" t="s">
        <v>181</v>
      </c>
      <c r="E21" s="22" t="s">
        <v>144</v>
      </c>
      <c r="F21" s="23" t="n">
        <v>20404</v>
      </c>
      <c r="G21" s="23" t="n">
        <v>17</v>
      </c>
      <c r="H21" s="23" t="n">
        <v>689</v>
      </c>
      <c r="I21" s="24" t="n">
        <f aca="false">H21/F21</f>
        <v>0.0337678886492845</v>
      </c>
      <c r="J21" s="22" t="str">
        <f aca="false">IF(F21&gt;=Parametros!$C$15,"Grande",IF(F21&gt;=Parametros!$C$16,"Intermedia","Pequeña"))</f>
        <v>Pequeña</v>
      </c>
      <c r="K21" s="25" t="n">
        <f aca="false">IF(J21="Grande",Parametros!$C$12,IF(J21="Intermedia",Parametros!$C$13,Parametros!$C$14))</f>
        <v>500</v>
      </c>
      <c r="L21" s="26" t="n">
        <f aca="false">IF(J21="Grande",Parametros!$C$9,IF(J21="Intermedia",Parametros!$C$10,Parametros!$C$11))</f>
        <v>1.15</v>
      </c>
      <c r="M21" s="27" t="n">
        <f aca="false">Parametros!$C$5*Parametros!$C$6*L21</f>
        <v>690000</v>
      </c>
      <c r="N21" s="27" t="n">
        <f aca="false">K21*M21</f>
        <v>345000000</v>
      </c>
      <c r="O21" s="27" t="n">
        <f aca="false">Parametros!$C$7</f>
        <v>60000</v>
      </c>
      <c r="P21" s="22" t="str">
        <f aca="false">IF(AND(G21&lt;Parametros!$C$17,I21&lt;Parametros!$C$18),"Cumple","No cumple")</f>
        <v>Cumple</v>
      </c>
    </row>
    <row r="22" customFormat="false" ht="15" hidden="false" customHeight="true" outlineLevel="0" collapsed="false">
      <c r="A22" s="22" t="s">
        <v>191</v>
      </c>
      <c r="B22" s="22" t="s">
        <v>192</v>
      </c>
      <c r="C22" s="22" t="s">
        <v>193</v>
      </c>
      <c r="D22" s="22" t="s">
        <v>181</v>
      </c>
      <c r="E22" s="22" t="s">
        <v>144</v>
      </c>
      <c r="F22" s="23" t="n">
        <v>71480</v>
      </c>
      <c r="G22" s="23" t="n">
        <v>3</v>
      </c>
      <c r="H22" s="23" t="n">
        <v>147</v>
      </c>
      <c r="I22" s="24" t="n">
        <f aca="false">H22/F22</f>
        <v>0.00205651930609961</v>
      </c>
      <c r="J22" s="22" t="str">
        <f aca="false">IF(F22&gt;=Parametros!$C$15,"Grande",IF(F22&gt;=Parametros!$C$16,"Intermedia","Pequeña"))</f>
        <v>Pequeña</v>
      </c>
      <c r="K22" s="25" t="n">
        <f aca="false">IF(J22="Grande",Parametros!$C$12,IF(J22="Intermedia",Parametros!$C$13,Parametros!$C$14))</f>
        <v>500</v>
      </c>
      <c r="L22" s="26" t="n">
        <f aca="false">IF(J22="Grande",Parametros!$C$9,IF(J22="Intermedia",Parametros!$C$10,Parametros!$C$11))</f>
        <v>1.15</v>
      </c>
      <c r="M22" s="27" t="n">
        <f aca="false">Parametros!$C$5*Parametros!$C$6*L22</f>
        <v>690000</v>
      </c>
      <c r="N22" s="27" t="n">
        <f aca="false">K22*M22</f>
        <v>345000000</v>
      </c>
      <c r="O22" s="27" t="n">
        <f aca="false">Parametros!$C$7</f>
        <v>60000</v>
      </c>
      <c r="P22" s="22" t="str">
        <f aca="false">IF(AND(G22&lt;Parametros!$C$17,I22&lt;Parametros!$C$18),"Cumple","No cumple")</f>
        <v>Cumple</v>
      </c>
    </row>
    <row r="24" customFormat="false" ht="15" hidden="false" customHeight="true" outlineLevel="0" collapsed="false">
      <c r="A24" s="28" t="s">
        <v>194</v>
      </c>
    </row>
    <row r="25" customFormat="false" ht="15" hidden="false" customHeight="true" outlineLevel="0" collapsed="false">
      <c r="A25" s="22" t="s">
        <v>195</v>
      </c>
      <c r="B25" s="22" t="s">
        <v>196</v>
      </c>
      <c r="C25" s="22" t="s">
        <v>197</v>
      </c>
      <c r="D25" s="22" t="s">
        <v>198</v>
      </c>
      <c r="E25" s="22" t="s">
        <v>199</v>
      </c>
      <c r="F25" s="23" t="n">
        <v>33758</v>
      </c>
      <c r="G25" s="23" t="n">
        <v>95</v>
      </c>
      <c r="H25" s="23" t="n">
        <v>2773</v>
      </c>
      <c r="I25" s="24" t="n">
        <f aca="false">H25/F25</f>
        <v>0.082143491913028</v>
      </c>
      <c r="J25" s="22" t="str">
        <f aca="false">IF(F25&gt;=Parametros!$C$15,"Grande",IF(F25&gt;=Parametros!$C$16,"Intermedia","Pequeña"))</f>
        <v>Pequeña</v>
      </c>
      <c r="K25" s="25" t="n">
        <f aca="false">IF(J25="Grande",Parametros!$C$12,IF(J25="Intermedia",Parametros!$C$13,Parametros!$C$14))</f>
        <v>500</v>
      </c>
      <c r="L25" s="26" t="n">
        <f aca="false">IF(J25="Grande",Parametros!$C$9,IF(J25="Intermedia",Parametros!$C$10,Parametros!$C$11))</f>
        <v>1.15</v>
      </c>
      <c r="M25" s="27" t="n">
        <f aca="false">Parametros!$C$5*Parametros!$C$6*L25</f>
        <v>690000</v>
      </c>
      <c r="N25" s="27" t="n">
        <f aca="false">K25*M25</f>
        <v>345000000</v>
      </c>
      <c r="O25" s="27" t="n">
        <f aca="false">Parametros!$C$7</f>
        <v>60000</v>
      </c>
      <c r="P25" s="22" t="str">
        <f aca="false">IF(AND(G25&lt;Parametros!$C$17,I25&lt;Parametros!$C$18),"Cumple","No cumple")</f>
        <v>No cumple</v>
      </c>
    </row>
    <row r="27" customFormat="false" ht="15" hidden="false" customHeight="true" outlineLevel="0" collapsed="false">
      <c r="A27" s="5" t="s">
        <v>200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3" width="58"/>
    <col collapsed="false" customWidth="true" hidden="false" outlineLevel="0" max="7" min="2" style="3" width="20"/>
  </cols>
  <sheetData>
    <row r="1" customFormat="false" ht="15.75" hidden="false" customHeight="true" outlineLevel="0" collapsed="false">
      <c r="A1" s="4" t="s">
        <v>201</v>
      </c>
    </row>
    <row r="3" customFormat="false" ht="15" hidden="false" customHeight="true" outlineLevel="0" collapsed="false">
      <c r="A3" s="22" t="s">
        <v>202</v>
      </c>
      <c r="B3" s="27" t="n">
        <f aca="false">SUMPRODUCT(LARGE(Candidatos!$N$6:$N$22,{1,2,3,4,5,6,7,8,9,10}))</f>
        <v>7095000000</v>
      </c>
      <c r="C3" s="29" t="s">
        <v>120</v>
      </c>
    </row>
    <row r="4" customFormat="false" ht="15" hidden="false" customHeight="true" outlineLevel="0" collapsed="false">
      <c r="A4" s="22" t="s">
        <v>203</v>
      </c>
      <c r="B4" s="30" t="n">
        <f aca="false">Parametros!$C$21</f>
        <v>0.5</v>
      </c>
      <c r="C4" s="31" t="s">
        <v>47</v>
      </c>
    </row>
    <row r="5" customFormat="false" ht="15" hidden="false" customHeight="true" outlineLevel="0" collapsed="false">
      <c r="A5" s="22" t="s">
        <v>204</v>
      </c>
      <c r="B5" s="27" t="n">
        <f aca="false">B3*B4</f>
        <v>3547500000</v>
      </c>
      <c r="C5" s="29" t="s">
        <v>120</v>
      </c>
    </row>
    <row r="6" customFormat="false" ht="15" hidden="false" customHeight="true" outlineLevel="0" collapsed="false">
      <c r="A6" s="22" t="s">
        <v>205</v>
      </c>
      <c r="B6" s="27" t="n">
        <f aca="false">B5*(1-Parametros!$C$22)</f>
        <v>3015375000</v>
      </c>
      <c r="C6" s="29" t="s">
        <v>120</v>
      </c>
    </row>
    <row r="7" customFormat="false" ht="15" hidden="false" customHeight="true" outlineLevel="0" collapsed="false">
      <c r="A7" s="22" t="s">
        <v>206</v>
      </c>
      <c r="B7" s="27" t="n">
        <f aca="false">B5*(1-Parametros!$C$23)</f>
        <v>2483250000</v>
      </c>
      <c r="C7" s="29" t="s">
        <v>120</v>
      </c>
    </row>
    <row r="8" customFormat="false" ht="15" hidden="false" customHeight="true" outlineLevel="0" collapsed="false">
      <c r="A8" s="22" t="s">
        <v>207</v>
      </c>
      <c r="B8" s="27" t="n">
        <f aca="false">SUM(Candidatos!$N$6:$N$22)</f>
        <v>9510000000</v>
      </c>
      <c r="C8" s="29" t="s">
        <v>120</v>
      </c>
    </row>
    <row r="9" customFormat="false" ht="15" hidden="false" customHeight="true" outlineLevel="0" collapsed="false">
      <c r="A9" s="22" t="s">
        <v>208</v>
      </c>
      <c r="B9" s="25" t="n">
        <f aca="false">SUM(Candidatos!$K$6:$K$22)</f>
        <v>16000</v>
      </c>
      <c r="C9" s="29" t="s">
        <v>120</v>
      </c>
    </row>
    <row r="10" customFormat="false" ht="15" hidden="false" customHeight="true" outlineLevel="0" collapsed="false">
      <c r="A10" s="22" t="s">
        <v>209</v>
      </c>
      <c r="B10" s="24" t="n">
        <f aca="false">B5/B8</f>
        <v>0.373028391167192</v>
      </c>
      <c r="C10" s="29" t="s">
        <v>120</v>
      </c>
    </row>
    <row r="13" customFormat="false" ht="15" hidden="false" customHeight="true" outlineLevel="0" collapsed="false">
      <c r="A13" s="28" t="s">
        <v>210</v>
      </c>
    </row>
    <row r="14" customFormat="false" ht="30" hidden="false" customHeight="true" outlineLevel="0" collapsed="false">
      <c r="A14" s="32" t="s">
        <v>211</v>
      </c>
      <c r="B14" s="32" t="s">
        <v>212</v>
      </c>
      <c r="C14" s="32" t="s">
        <v>213</v>
      </c>
      <c r="D14" s="32" t="s">
        <v>214</v>
      </c>
      <c r="E14" s="32" t="s">
        <v>204</v>
      </c>
      <c r="F14" s="32" t="s">
        <v>215</v>
      </c>
      <c r="G14" s="32" t="s">
        <v>216</v>
      </c>
    </row>
    <row r="15" customFormat="false" ht="15" hidden="false" customHeight="true" outlineLevel="0" collapsed="false">
      <c r="A15" s="23" t="n">
        <v>100000</v>
      </c>
      <c r="B15" s="27" t="n">
        <f aca="false">Parametros!$C$12*A15*Parametros!$C$6*Parametros!$C$9</f>
        <v>765000000</v>
      </c>
      <c r="C15" s="27" t="n">
        <f aca="false">Parametros!$C$13*A15*Parametros!$C$6*Parametros!$C$10</f>
        <v>300000000</v>
      </c>
      <c r="D15" s="27" t="n">
        <f aca="false">Parametros!$C$14*A15*Parametros!$C$6*Parametros!$C$11</f>
        <v>172500000</v>
      </c>
      <c r="E15" s="27" t="n">
        <f aca="false">$B$5*A15/Parametros!$C$5</f>
        <v>1773750000</v>
      </c>
      <c r="F15" s="27" t="n">
        <f aca="false">E15*(1-Parametros!$C$22)</f>
        <v>1507687500</v>
      </c>
      <c r="G15" s="27" t="n">
        <f aca="false">E15*(1-Parametros!$C$23)</f>
        <v>1241625000</v>
      </c>
    </row>
    <row r="16" customFormat="false" ht="15" hidden="false" customHeight="true" outlineLevel="0" collapsed="false">
      <c r="A16" s="23" t="n">
        <v>150000</v>
      </c>
      <c r="B16" s="27" t="n">
        <f aca="false">Parametros!$C$12*A16*Parametros!$C$6*Parametros!$C$9</f>
        <v>1147500000</v>
      </c>
      <c r="C16" s="27" t="n">
        <f aca="false">Parametros!$C$13*A16*Parametros!$C$6*Parametros!$C$10</f>
        <v>450000000</v>
      </c>
      <c r="D16" s="27" t="n">
        <f aca="false">Parametros!$C$14*A16*Parametros!$C$6*Parametros!$C$11</f>
        <v>258750000</v>
      </c>
      <c r="E16" s="27" t="n">
        <f aca="false">$B$5*A16/Parametros!$C$5</f>
        <v>2660625000</v>
      </c>
      <c r="F16" s="27" t="n">
        <f aca="false">E16*(1-Parametros!$C$22)</f>
        <v>2261531250</v>
      </c>
      <c r="G16" s="27" t="n">
        <f aca="false">E16*(1-Parametros!$C$23)</f>
        <v>1862437500</v>
      </c>
    </row>
    <row r="17" customFormat="false" ht="15" hidden="false" customHeight="true" outlineLevel="0" collapsed="false">
      <c r="A17" s="23" t="n">
        <v>200000</v>
      </c>
      <c r="B17" s="27" t="n">
        <f aca="false">Parametros!$C$12*A17*Parametros!$C$6*Parametros!$C$9</f>
        <v>1530000000</v>
      </c>
      <c r="C17" s="27" t="n">
        <f aca="false">Parametros!$C$13*A17*Parametros!$C$6*Parametros!$C$10</f>
        <v>600000000</v>
      </c>
      <c r="D17" s="27" t="n">
        <f aca="false">Parametros!$C$14*A17*Parametros!$C$6*Parametros!$C$11</f>
        <v>345000000</v>
      </c>
      <c r="E17" s="27" t="n">
        <f aca="false">$B$5*A17/Parametros!$C$5</f>
        <v>3547500000</v>
      </c>
      <c r="F17" s="27" t="n">
        <f aca="false">E17*(1-Parametros!$C$22)</f>
        <v>3015375000</v>
      </c>
      <c r="G17" s="27" t="n">
        <f aca="false">E17*(1-Parametros!$C$23)</f>
        <v>2483250000</v>
      </c>
    </row>
    <row r="18" customFormat="false" ht="15" hidden="false" customHeight="true" outlineLevel="0" collapsed="false">
      <c r="A18" s="23" t="n">
        <v>250000</v>
      </c>
      <c r="B18" s="27" t="n">
        <f aca="false">Parametros!$C$12*A18*Parametros!$C$6*Parametros!$C$9</f>
        <v>1912500000</v>
      </c>
      <c r="C18" s="27" t="n">
        <f aca="false">Parametros!$C$13*A18*Parametros!$C$6*Parametros!$C$10</f>
        <v>750000000</v>
      </c>
      <c r="D18" s="27" t="n">
        <f aca="false">Parametros!$C$14*A18*Parametros!$C$6*Parametros!$C$11</f>
        <v>431250000</v>
      </c>
      <c r="E18" s="27" t="n">
        <f aca="false">$B$5*A18/Parametros!$C$5</f>
        <v>4434375000</v>
      </c>
      <c r="F18" s="27" t="n">
        <f aca="false">E18*(1-Parametros!$C$22)</f>
        <v>3769218750</v>
      </c>
      <c r="G18" s="27" t="n">
        <f aca="false">E18*(1-Parametros!$C$23)</f>
        <v>3104062500</v>
      </c>
    </row>
    <row r="19" customFormat="false" ht="15" hidden="false" customHeight="true" outlineLevel="0" collapsed="false">
      <c r="A19" s="23" t="n">
        <v>300000</v>
      </c>
      <c r="B19" s="27" t="n">
        <f aca="false">Parametros!$C$12*A19*Parametros!$C$6*Parametros!$C$9</f>
        <v>2295000000</v>
      </c>
      <c r="C19" s="27" t="n">
        <f aca="false">Parametros!$C$13*A19*Parametros!$C$6*Parametros!$C$10</f>
        <v>900000000</v>
      </c>
      <c r="D19" s="27" t="n">
        <f aca="false">Parametros!$C$14*A19*Parametros!$C$6*Parametros!$C$11</f>
        <v>517500000</v>
      </c>
      <c r="E19" s="27" t="n">
        <f aca="false">$B$5*A19/Parametros!$C$5</f>
        <v>5321250000</v>
      </c>
      <c r="F19" s="27" t="n">
        <f aca="false">E19*(1-Parametros!$C$22)</f>
        <v>4523062500</v>
      </c>
      <c r="G19" s="27" t="n">
        <f aca="false">E19*(1-Parametros!$C$23)</f>
        <v>3724875000</v>
      </c>
    </row>
    <row r="20" customFormat="false" ht="15" hidden="false" customHeight="true" outlineLevel="0" collapsed="false">
      <c r="A20" s="23" t="n">
        <v>400000</v>
      </c>
      <c r="B20" s="27" t="n">
        <f aca="false">Parametros!$C$12*A20*Parametros!$C$6*Parametros!$C$9</f>
        <v>3060000000</v>
      </c>
      <c r="C20" s="27" t="n">
        <f aca="false">Parametros!$C$13*A20*Parametros!$C$6*Parametros!$C$10</f>
        <v>1200000000</v>
      </c>
      <c r="D20" s="27" t="n">
        <f aca="false">Parametros!$C$14*A20*Parametros!$C$6*Parametros!$C$11</f>
        <v>690000000</v>
      </c>
      <c r="E20" s="27" t="n">
        <f aca="false">$B$5*A20/Parametros!$C$5</f>
        <v>7095000000</v>
      </c>
      <c r="F20" s="27" t="n">
        <f aca="false">E20*(1-Parametros!$C$22)</f>
        <v>6030750000</v>
      </c>
      <c r="G20" s="27" t="n">
        <f aca="false">E20*(1-Parametros!$C$23)</f>
        <v>4966500000</v>
      </c>
    </row>
    <row r="22" customFormat="false" ht="15" hidden="false" customHeight="true" outlineLevel="0" collapsed="false">
      <c r="A22" s="5" t="s">
        <v>217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3" width="10"/>
    <col collapsed="false" customWidth="true" hidden="false" outlineLevel="0" max="2" min="2" style="3" width="20"/>
    <col collapsed="false" customWidth="true" hidden="false" outlineLevel="0" max="3" min="3" style="3" width="16"/>
    <col collapsed="false" customWidth="true" hidden="false" outlineLevel="0" max="4" min="4" style="3" width="13"/>
    <col collapsed="false" customWidth="true" hidden="false" outlineLevel="0" max="5" min="5" style="3" width="10"/>
    <col collapsed="false" customWidth="true" hidden="false" outlineLevel="0" max="6" min="6" style="3" width="11"/>
    <col collapsed="false" customWidth="true" hidden="false" outlineLevel="0" max="7" min="7" style="3" width="14"/>
    <col collapsed="false" customWidth="true" hidden="false" outlineLevel="0" max="8" min="8" style="3" width="11"/>
    <col collapsed="false" customWidth="true" hidden="false" outlineLevel="0" max="9" min="9" style="3" width="12"/>
    <col collapsed="false" customWidth="true" hidden="false" outlineLevel="0" max="11" min="10" style="3" width="10"/>
    <col collapsed="false" customWidth="true" hidden="false" outlineLevel="0" max="12" min="12" style="3" width="13"/>
    <col collapsed="false" customWidth="true" hidden="false" outlineLevel="0" max="13" min="13" style="3" width="10"/>
    <col collapsed="false" customWidth="true" hidden="false" outlineLevel="0" max="14" min="14" style="3" width="14"/>
    <col collapsed="false" customWidth="true" hidden="false" outlineLevel="0" max="15" min="15" style="3" width="11"/>
    <col collapsed="false" customWidth="true" hidden="false" outlineLevel="0" max="16" min="16" style="3" width="10"/>
  </cols>
  <sheetData>
    <row r="1" customFormat="false" ht="15.75" hidden="false" customHeight="true" outlineLevel="0" collapsed="false">
      <c r="A1" s="4" t="s">
        <v>218</v>
      </c>
    </row>
    <row r="3" customFormat="false" ht="15" hidden="false" customHeight="true" outlineLevel="0" collapsed="false">
      <c r="A3" s="18" t="s">
        <v>124</v>
      </c>
      <c r="B3" s="18" t="s">
        <v>124</v>
      </c>
      <c r="C3" s="18" t="s">
        <v>124</v>
      </c>
      <c r="D3" s="20" t="s">
        <v>47</v>
      </c>
      <c r="E3" s="20" t="s">
        <v>47</v>
      </c>
      <c r="F3" s="20" t="s">
        <v>47</v>
      </c>
      <c r="G3" s="20" t="s">
        <v>47</v>
      </c>
      <c r="H3" s="21" t="s">
        <v>120</v>
      </c>
      <c r="I3" s="21" t="s">
        <v>120</v>
      </c>
      <c r="J3" s="21" t="s">
        <v>120</v>
      </c>
      <c r="K3" s="21" t="s">
        <v>120</v>
      </c>
      <c r="L3" s="21" t="s">
        <v>120</v>
      </c>
      <c r="M3" s="21" t="s">
        <v>120</v>
      </c>
      <c r="N3" s="21" t="s">
        <v>120</v>
      </c>
      <c r="O3" s="21" t="s">
        <v>120</v>
      </c>
      <c r="P3" s="20" t="s">
        <v>47</v>
      </c>
    </row>
    <row r="4" customFormat="false" ht="42" hidden="false" customHeight="true" outlineLevel="0" collapsed="false">
      <c r="A4" s="6" t="s">
        <v>125</v>
      </c>
      <c r="B4" s="6" t="s">
        <v>126</v>
      </c>
      <c r="C4" s="6" t="s">
        <v>127</v>
      </c>
      <c r="D4" s="6" t="s">
        <v>129</v>
      </c>
      <c r="E4" s="6" t="s">
        <v>130</v>
      </c>
      <c r="F4" s="6" t="s">
        <v>219</v>
      </c>
      <c r="G4" s="6" t="s">
        <v>131</v>
      </c>
      <c r="H4" s="6" t="s">
        <v>220</v>
      </c>
      <c r="I4" s="6" t="s">
        <v>221</v>
      </c>
      <c r="J4" s="6" t="s">
        <v>222</v>
      </c>
      <c r="K4" s="6" t="s">
        <v>223</v>
      </c>
      <c r="L4" s="6" t="s">
        <v>224</v>
      </c>
      <c r="M4" s="6" t="s">
        <v>225</v>
      </c>
      <c r="N4" s="6" t="s">
        <v>226</v>
      </c>
      <c r="O4" s="6" t="s">
        <v>132</v>
      </c>
      <c r="P4" s="6" t="s">
        <v>227</v>
      </c>
    </row>
    <row r="5" customFormat="false" ht="15" hidden="false" customHeight="true" outlineLevel="0" collapsed="false">
      <c r="A5" s="22" t="s">
        <v>228</v>
      </c>
      <c r="B5" s="22" t="s">
        <v>229</v>
      </c>
      <c r="C5" s="22" t="s">
        <v>230</v>
      </c>
      <c r="D5" s="23" t="n">
        <v>487820</v>
      </c>
      <c r="E5" s="23" t="n">
        <v>23873</v>
      </c>
      <c r="F5" s="23" t="n">
        <v>47211</v>
      </c>
      <c r="G5" s="23" t="n">
        <v>110882</v>
      </c>
      <c r="H5" s="26" t="n">
        <f aca="false">G5/F5</f>
        <v>2.34864756094978</v>
      </c>
      <c r="I5" s="25" t="n">
        <f aca="false">E5*H5</f>
        <v>56069.2632225541</v>
      </c>
      <c r="J5" s="25" t="n">
        <f aca="false">ROUND(I5*Parametros!$C$25,0)</f>
        <v>1121</v>
      </c>
      <c r="K5" s="25" t="n">
        <f aca="false">ROUND(I5*Parametros!$C$26,0)</f>
        <v>2803</v>
      </c>
      <c r="L5" s="25" t="n">
        <f aca="false">ROUND(I5*Parametros!$C$24,0)</f>
        <v>5607</v>
      </c>
      <c r="M5" s="25" t="n">
        <f aca="false">ROUND(I5*Parametros!$C$27,0)</f>
        <v>7289</v>
      </c>
      <c r="N5" s="25" t="n">
        <f aca="false">ROUND(E5*Parametros!$C$28*Parametros!$C$24,0)</f>
        <v>7162</v>
      </c>
      <c r="O5" s="24" t="n">
        <f aca="false">G5/D5</f>
        <v>0.227301053667336</v>
      </c>
      <c r="P5" s="22" t="s">
        <v>231</v>
      </c>
    </row>
    <row r="6" customFormat="false" ht="15" hidden="false" customHeight="true" outlineLevel="0" collapsed="false">
      <c r="A6" s="22" t="s">
        <v>232</v>
      </c>
      <c r="B6" s="22" t="s">
        <v>233</v>
      </c>
      <c r="C6" s="22" t="s">
        <v>143</v>
      </c>
      <c r="D6" s="23" t="n">
        <v>2269983</v>
      </c>
      <c r="E6" s="23" t="n">
        <v>21309</v>
      </c>
      <c r="F6" s="23" t="n">
        <v>45138</v>
      </c>
      <c r="G6" s="23" t="n">
        <v>97337</v>
      </c>
      <c r="H6" s="26" t="n">
        <f aca="false">G6/F6</f>
        <v>2.15643138818734</v>
      </c>
      <c r="I6" s="25" t="n">
        <f aca="false">E6*H6</f>
        <v>45951.396450884</v>
      </c>
      <c r="J6" s="25" t="n">
        <f aca="false">ROUND(I6*Parametros!$C$25,0)</f>
        <v>919</v>
      </c>
      <c r="K6" s="25" t="n">
        <f aca="false">ROUND(I6*Parametros!$C$26,0)</f>
        <v>2298</v>
      </c>
      <c r="L6" s="25" t="n">
        <f aca="false">ROUND(I6*Parametros!$C$24,0)</f>
        <v>4595</v>
      </c>
      <c r="M6" s="25" t="n">
        <f aca="false">ROUND(I6*Parametros!$C$27,0)</f>
        <v>5974</v>
      </c>
      <c r="N6" s="25" t="n">
        <f aca="false">ROUND(E6*Parametros!$C$28*Parametros!$C$24,0)</f>
        <v>6393</v>
      </c>
      <c r="O6" s="24" t="n">
        <f aca="false">G6/D6</f>
        <v>0.0428800568109981</v>
      </c>
      <c r="P6" s="22" t="s">
        <v>231</v>
      </c>
    </row>
    <row r="7" customFormat="false" ht="15" hidden="false" customHeight="true" outlineLevel="0" collapsed="false">
      <c r="A7" s="22" t="s">
        <v>234</v>
      </c>
      <c r="B7" s="22" t="s">
        <v>235</v>
      </c>
      <c r="C7" s="22" t="s">
        <v>143</v>
      </c>
      <c r="D7" s="23" t="n">
        <v>335217</v>
      </c>
      <c r="E7" s="23" t="n">
        <v>9557</v>
      </c>
      <c r="F7" s="23" t="n">
        <v>31654</v>
      </c>
      <c r="G7" s="23" t="n">
        <v>67590</v>
      </c>
      <c r="H7" s="26" t="n">
        <f aca="false">G7/F7</f>
        <v>2.13527516269666</v>
      </c>
      <c r="I7" s="25" t="n">
        <f aca="false">E7*H7</f>
        <v>20406.824729892</v>
      </c>
      <c r="J7" s="25" t="n">
        <f aca="false">ROUND(I7*Parametros!$C$25,0)</f>
        <v>408</v>
      </c>
      <c r="K7" s="25" t="n">
        <f aca="false">ROUND(I7*Parametros!$C$26,0)</f>
        <v>1020</v>
      </c>
      <c r="L7" s="25" t="n">
        <f aca="false">ROUND(I7*Parametros!$C$24,0)</f>
        <v>2041</v>
      </c>
      <c r="M7" s="25" t="n">
        <f aca="false">ROUND(I7*Parametros!$C$27,0)</f>
        <v>2653</v>
      </c>
      <c r="N7" s="25" t="n">
        <f aca="false">ROUND(E7*Parametros!$C$28*Parametros!$C$24,0)</f>
        <v>2867</v>
      </c>
      <c r="O7" s="24" t="n">
        <f aca="false">G7/D7</f>
        <v>0.201630585560995</v>
      </c>
      <c r="P7" s="22" t="s">
        <v>231</v>
      </c>
    </row>
    <row r="8" customFormat="false" ht="15" hidden="false" customHeight="true" outlineLevel="0" collapsed="false">
      <c r="A8" s="22" t="s">
        <v>236</v>
      </c>
      <c r="B8" s="22" t="s">
        <v>237</v>
      </c>
      <c r="C8" s="22" t="s">
        <v>198</v>
      </c>
      <c r="D8" s="23" t="n">
        <v>307103</v>
      </c>
      <c r="E8" s="23" t="n">
        <v>7270</v>
      </c>
      <c r="F8" s="23" t="n">
        <v>21935</v>
      </c>
      <c r="G8" s="23" t="n">
        <v>41197</v>
      </c>
      <c r="H8" s="26" t="n">
        <f aca="false">G8/F8</f>
        <v>1.87813995896968</v>
      </c>
      <c r="I8" s="25" t="n">
        <f aca="false">E8*H8</f>
        <v>13654.0775017096</v>
      </c>
      <c r="J8" s="25" t="n">
        <f aca="false">ROUND(I8*Parametros!$C$25,0)</f>
        <v>273</v>
      </c>
      <c r="K8" s="25" t="n">
        <f aca="false">ROUND(I8*Parametros!$C$26,0)</f>
        <v>683</v>
      </c>
      <c r="L8" s="25" t="n">
        <f aca="false">ROUND(I8*Parametros!$C$24,0)</f>
        <v>1365</v>
      </c>
      <c r="M8" s="25" t="n">
        <f aca="false">ROUND(I8*Parametros!$C$27,0)</f>
        <v>1775</v>
      </c>
      <c r="N8" s="25" t="n">
        <f aca="false">ROUND(E8*Parametros!$C$28*Parametros!$C$24,0)</f>
        <v>2181</v>
      </c>
      <c r="O8" s="24" t="n">
        <f aca="false">G8/D8</f>
        <v>0.134147175377642</v>
      </c>
      <c r="P8" s="22" t="s">
        <v>231</v>
      </c>
    </row>
    <row r="9" customFormat="false" ht="15" hidden="false" customHeight="true" outlineLevel="0" collapsed="false">
      <c r="A9" s="22" t="s">
        <v>238</v>
      </c>
      <c r="B9" s="22" t="s">
        <v>239</v>
      </c>
      <c r="C9" s="22" t="s">
        <v>230</v>
      </c>
      <c r="D9" s="23" t="n">
        <v>246388</v>
      </c>
      <c r="E9" s="23" t="n">
        <v>4179</v>
      </c>
      <c r="F9" s="23" t="n">
        <v>8116</v>
      </c>
      <c r="G9" s="23" t="n">
        <v>17742</v>
      </c>
      <c r="H9" s="26" t="n">
        <f aca="false">G9/F9</f>
        <v>2.18605224248398</v>
      </c>
      <c r="I9" s="25" t="n">
        <f aca="false">E9*H9</f>
        <v>9135.51232134056</v>
      </c>
      <c r="J9" s="25" t="n">
        <f aca="false">ROUND(I9*Parametros!$C$25,0)</f>
        <v>183</v>
      </c>
      <c r="K9" s="25" t="n">
        <f aca="false">ROUND(I9*Parametros!$C$26,0)</f>
        <v>457</v>
      </c>
      <c r="L9" s="25" t="n">
        <f aca="false">ROUND(I9*Parametros!$C$24,0)</f>
        <v>914</v>
      </c>
      <c r="M9" s="25" t="n">
        <f aca="false">ROUND(I9*Parametros!$C$27,0)</f>
        <v>1188</v>
      </c>
      <c r="N9" s="25" t="n">
        <f aca="false">ROUND(E9*Parametros!$C$28*Parametros!$C$24,0)</f>
        <v>1254</v>
      </c>
      <c r="O9" s="24" t="n">
        <f aca="false">G9/D9</f>
        <v>0.0720083770313489</v>
      </c>
      <c r="P9" s="22" t="s">
        <v>231</v>
      </c>
    </row>
    <row r="10" customFormat="false" ht="15" hidden="false" customHeight="true" outlineLevel="0" collapsed="false">
      <c r="A10" s="22" t="s">
        <v>240</v>
      </c>
      <c r="B10" s="22" t="s">
        <v>241</v>
      </c>
      <c r="C10" s="22" t="s">
        <v>181</v>
      </c>
      <c r="D10" s="23" t="n">
        <v>475690</v>
      </c>
      <c r="E10" s="23" t="n">
        <v>4590</v>
      </c>
      <c r="F10" s="23" t="n">
        <v>9125</v>
      </c>
      <c r="G10" s="23" t="n">
        <v>14359</v>
      </c>
      <c r="H10" s="26" t="n">
        <f aca="false">G10/F10</f>
        <v>1.57358904109589</v>
      </c>
      <c r="I10" s="25" t="n">
        <f aca="false">E10*H10</f>
        <v>7222.77369863014</v>
      </c>
      <c r="J10" s="25" t="n">
        <f aca="false">ROUND(I10*Parametros!$C$25,0)</f>
        <v>144</v>
      </c>
      <c r="K10" s="25" t="n">
        <f aca="false">ROUND(I10*Parametros!$C$26,0)</f>
        <v>361</v>
      </c>
      <c r="L10" s="25" t="n">
        <f aca="false">ROUND(I10*Parametros!$C$24,0)</f>
        <v>722</v>
      </c>
      <c r="M10" s="25" t="n">
        <f aca="false">ROUND(I10*Parametros!$C$27,0)</f>
        <v>939</v>
      </c>
      <c r="N10" s="25" t="n">
        <f aca="false">ROUND(E10*Parametros!$C$28*Parametros!$C$24,0)</f>
        <v>1377</v>
      </c>
      <c r="O10" s="24" t="n">
        <f aca="false">G10/D10</f>
        <v>0.0301856250919717</v>
      </c>
      <c r="P10" s="22" t="s">
        <v>231</v>
      </c>
    </row>
    <row r="11" customFormat="false" ht="15" hidden="false" customHeight="true" outlineLevel="0" collapsed="false">
      <c r="A11" s="22" t="s">
        <v>242</v>
      </c>
      <c r="B11" s="22" t="s">
        <v>243</v>
      </c>
      <c r="C11" s="22" t="s">
        <v>230</v>
      </c>
      <c r="D11" s="23" t="n">
        <v>84054</v>
      </c>
      <c r="E11" s="23" t="n">
        <v>1904</v>
      </c>
      <c r="F11" s="23" t="n">
        <v>5202</v>
      </c>
      <c r="G11" s="23" t="n">
        <v>11899</v>
      </c>
      <c r="H11" s="26" t="n">
        <f aca="false">G11/F11</f>
        <v>2.28738946559016</v>
      </c>
      <c r="I11" s="25" t="n">
        <f aca="false">E11*H11</f>
        <v>4355.18954248366</v>
      </c>
      <c r="J11" s="25" t="n">
        <f aca="false">ROUND(I11*Parametros!$C$25,0)</f>
        <v>87</v>
      </c>
      <c r="K11" s="25" t="n">
        <f aca="false">ROUND(I11*Parametros!$C$26,0)</f>
        <v>218</v>
      </c>
      <c r="L11" s="25" t="n">
        <f aca="false">ROUND(I11*Parametros!$C$24,0)</f>
        <v>436</v>
      </c>
      <c r="M11" s="25" t="n">
        <f aca="false">ROUND(I11*Parametros!$C$27,0)</f>
        <v>566</v>
      </c>
      <c r="N11" s="25" t="n">
        <f aca="false">ROUND(E11*Parametros!$C$28*Parametros!$C$24,0)</f>
        <v>571</v>
      </c>
      <c r="O11" s="24" t="n">
        <f aca="false">G11/D11</f>
        <v>0.141563756632641</v>
      </c>
      <c r="P11" s="22" t="s">
        <v>244</v>
      </c>
    </row>
    <row r="12" customFormat="false" ht="15" hidden="false" customHeight="true" outlineLevel="0" collapsed="false">
      <c r="A12" s="22" t="s">
        <v>245</v>
      </c>
      <c r="B12" s="22" t="s">
        <v>246</v>
      </c>
      <c r="C12" s="22" t="s">
        <v>198</v>
      </c>
      <c r="D12" s="23" t="n">
        <v>31350</v>
      </c>
      <c r="E12" s="23" t="n">
        <v>1683</v>
      </c>
      <c r="F12" s="23" t="n">
        <v>5728</v>
      </c>
      <c r="G12" s="23" t="n">
        <v>12739</v>
      </c>
      <c r="H12" s="26" t="n">
        <f aca="false">G12/F12</f>
        <v>2.2239874301676</v>
      </c>
      <c r="I12" s="25" t="n">
        <f aca="false">E12*H12</f>
        <v>3742.97084497207</v>
      </c>
      <c r="J12" s="25" t="n">
        <f aca="false">ROUND(I12*Parametros!$C$25,0)</f>
        <v>75</v>
      </c>
      <c r="K12" s="25" t="n">
        <f aca="false">ROUND(I12*Parametros!$C$26,0)</f>
        <v>187</v>
      </c>
      <c r="L12" s="25" t="n">
        <f aca="false">ROUND(I12*Parametros!$C$24,0)</f>
        <v>374</v>
      </c>
      <c r="M12" s="25" t="n">
        <f aca="false">ROUND(I12*Parametros!$C$27,0)</f>
        <v>487</v>
      </c>
      <c r="N12" s="25" t="n">
        <f aca="false">ROUND(E12*Parametros!$C$28*Parametros!$C$24,0)</f>
        <v>505</v>
      </c>
      <c r="O12" s="24" t="n">
        <f aca="false">G12/D12</f>
        <v>0.406347687400319</v>
      </c>
      <c r="P12" s="22" t="s">
        <v>231</v>
      </c>
    </row>
    <row r="13" customFormat="false" ht="15" hidden="false" customHeight="true" outlineLevel="0" collapsed="false">
      <c r="A13" s="22" t="s">
        <v>247</v>
      </c>
      <c r="B13" s="22" t="s">
        <v>248</v>
      </c>
      <c r="C13" s="22" t="s">
        <v>143</v>
      </c>
      <c r="D13" s="23" t="n">
        <v>60038</v>
      </c>
      <c r="E13" s="23" t="n">
        <v>1635</v>
      </c>
      <c r="F13" s="23" t="n">
        <v>5272</v>
      </c>
      <c r="G13" s="23" t="n">
        <v>11355</v>
      </c>
      <c r="H13" s="26" t="n">
        <f aca="false">G13/F13</f>
        <v>2.1538315629742</v>
      </c>
      <c r="I13" s="25" t="n">
        <f aca="false">E13*H13</f>
        <v>3521.51460546282</v>
      </c>
      <c r="J13" s="25" t="n">
        <f aca="false">ROUND(I13*Parametros!$C$25,0)</f>
        <v>70</v>
      </c>
      <c r="K13" s="25" t="n">
        <f aca="false">ROUND(I13*Parametros!$C$26,0)</f>
        <v>176</v>
      </c>
      <c r="L13" s="25" t="n">
        <f aca="false">ROUND(I13*Parametros!$C$24,0)</f>
        <v>352</v>
      </c>
      <c r="M13" s="25" t="n">
        <f aca="false">ROUND(I13*Parametros!$C$27,0)</f>
        <v>458</v>
      </c>
      <c r="N13" s="25" t="n">
        <f aca="false">ROUND(E13*Parametros!$C$28*Parametros!$C$24,0)</f>
        <v>491</v>
      </c>
      <c r="O13" s="24" t="n">
        <f aca="false">G13/D13</f>
        <v>0.189130217528898</v>
      </c>
      <c r="P13" s="22" t="s">
        <v>249</v>
      </c>
    </row>
    <row r="14" customFormat="false" ht="15" hidden="false" customHeight="true" outlineLevel="0" collapsed="false">
      <c r="A14" s="22" t="s">
        <v>250</v>
      </c>
      <c r="B14" s="22" t="s">
        <v>251</v>
      </c>
      <c r="C14" s="22" t="s">
        <v>198</v>
      </c>
      <c r="D14" s="23" t="n">
        <v>37483</v>
      </c>
      <c r="E14" s="23" t="n">
        <v>1048</v>
      </c>
      <c r="F14" s="23" t="n">
        <v>5423</v>
      </c>
      <c r="G14" s="23" t="n">
        <v>12407</v>
      </c>
      <c r="H14" s="26" t="n">
        <f aca="false">G14/F14</f>
        <v>2.28784805458233</v>
      </c>
      <c r="I14" s="25" t="n">
        <f aca="false">E14*H14</f>
        <v>2397.66476120229</v>
      </c>
      <c r="J14" s="25" t="n">
        <f aca="false">ROUND(I14*Parametros!$C$25,0)</f>
        <v>48</v>
      </c>
      <c r="K14" s="25" t="n">
        <f aca="false">ROUND(I14*Parametros!$C$26,0)</f>
        <v>120</v>
      </c>
      <c r="L14" s="25" t="n">
        <f aca="false">ROUND(I14*Parametros!$C$24,0)</f>
        <v>240</v>
      </c>
      <c r="M14" s="25" t="n">
        <f aca="false">ROUND(I14*Parametros!$C$27,0)</f>
        <v>312</v>
      </c>
      <c r="N14" s="25" t="n">
        <f aca="false">ROUND(E14*Parametros!$C$28*Parametros!$C$24,0)</f>
        <v>314</v>
      </c>
      <c r="O14" s="24" t="n">
        <f aca="false">G14/D14</f>
        <v>0.331003388202652</v>
      </c>
      <c r="P14" s="22" t="s">
        <v>231</v>
      </c>
    </row>
    <row r="15" customFormat="false" ht="15" hidden="false" customHeight="true" outlineLevel="0" collapsed="false">
      <c r="A15" s="22" t="s">
        <v>252</v>
      </c>
      <c r="B15" s="22" t="s">
        <v>253</v>
      </c>
      <c r="C15" s="22" t="s">
        <v>143</v>
      </c>
      <c r="D15" s="23" t="n">
        <v>38639</v>
      </c>
      <c r="E15" s="23" t="n">
        <v>1519</v>
      </c>
      <c r="F15" s="23" t="n">
        <v>6146</v>
      </c>
      <c r="G15" s="23" t="n">
        <v>9296</v>
      </c>
      <c r="H15" s="26" t="n">
        <f aca="false">G15/F15</f>
        <v>1.5125284738041</v>
      </c>
      <c r="I15" s="25" t="n">
        <f aca="false">E15*H15</f>
        <v>2297.53075170843</v>
      </c>
      <c r="J15" s="25" t="n">
        <f aca="false">ROUND(I15*Parametros!$C$25,0)</f>
        <v>46</v>
      </c>
      <c r="K15" s="25" t="n">
        <f aca="false">ROUND(I15*Parametros!$C$26,0)</f>
        <v>115</v>
      </c>
      <c r="L15" s="25" t="n">
        <f aca="false">ROUND(I15*Parametros!$C$24,0)</f>
        <v>230</v>
      </c>
      <c r="M15" s="25" t="n">
        <f aca="false">ROUND(I15*Parametros!$C$27,0)</f>
        <v>299</v>
      </c>
      <c r="N15" s="25" t="n">
        <f aca="false">ROUND(E15*Parametros!$C$28*Parametros!$C$24,0)</f>
        <v>456</v>
      </c>
      <c r="O15" s="24" t="n">
        <f aca="false">G15/D15</f>
        <v>0.24058593648904</v>
      </c>
      <c r="P15" s="22" t="s">
        <v>231</v>
      </c>
    </row>
    <row r="16" customFormat="false" ht="15" hidden="false" customHeight="true" outlineLevel="0" collapsed="false">
      <c r="A16" s="22" t="s">
        <v>254</v>
      </c>
      <c r="B16" s="22" t="s">
        <v>255</v>
      </c>
      <c r="C16" s="22" t="s">
        <v>143</v>
      </c>
      <c r="D16" s="23" t="n">
        <v>16843</v>
      </c>
      <c r="E16" s="23" t="n">
        <v>651</v>
      </c>
      <c r="F16" s="23" t="n">
        <v>2522</v>
      </c>
      <c r="G16" s="23" t="n">
        <v>6237</v>
      </c>
      <c r="H16" s="26" t="n">
        <f aca="false">G16/F16</f>
        <v>2.47303727200634</v>
      </c>
      <c r="I16" s="25" t="n">
        <f aca="false">E16*H16</f>
        <v>1609.94726407613</v>
      </c>
      <c r="J16" s="25" t="n">
        <f aca="false">ROUND(I16*Parametros!$C$25,0)</f>
        <v>32</v>
      </c>
      <c r="K16" s="25" t="n">
        <f aca="false">ROUND(I16*Parametros!$C$26,0)</f>
        <v>80</v>
      </c>
      <c r="L16" s="25" t="n">
        <f aca="false">ROUND(I16*Parametros!$C$24,0)</f>
        <v>161</v>
      </c>
      <c r="M16" s="25" t="n">
        <f aca="false">ROUND(I16*Parametros!$C$27,0)</f>
        <v>209</v>
      </c>
      <c r="N16" s="25" t="n">
        <f aca="false">ROUND(E16*Parametros!$C$28*Parametros!$C$24,0)</f>
        <v>195</v>
      </c>
      <c r="O16" s="24" t="n">
        <f aca="false">G16/D16</f>
        <v>0.370302202695482</v>
      </c>
      <c r="P16" s="22" t="s">
        <v>231</v>
      </c>
    </row>
    <row r="17" customFormat="false" ht="15" hidden="false" customHeight="true" outlineLevel="0" collapsed="false">
      <c r="A17" s="22" t="s">
        <v>256</v>
      </c>
      <c r="B17" s="22" t="s">
        <v>257</v>
      </c>
      <c r="C17" s="22" t="s">
        <v>143</v>
      </c>
      <c r="D17" s="23" t="n">
        <v>20058</v>
      </c>
      <c r="E17" s="23" t="n">
        <v>605</v>
      </c>
      <c r="F17" s="23" t="n">
        <v>3089</v>
      </c>
      <c r="G17" s="23" t="n">
        <v>7897</v>
      </c>
      <c r="H17" s="26" t="n">
        <f aca="false">G17/F17</f>
        <v>2.55649077371318</v>
      </c>
      <c r="I17" s="25" t="n">
        <f aca="false">E17*H17</f>
        <v>1546.67691809647</v>
      </c>
      <c r="J17" s="25" t="n">
        <f aca="false">ROUND(I17*Parametros!$C$25,0)</f>
        <v>31</v>
      </c>
      <c r="K17" s="25" t="n">
        <f aca="false">ROUND(I17*Parametros!$C$26,0)</f>
        <v>77</v>
      </c>
      <c r="L17" s="25" t="n">
        <f aca="false">ROUND(I17*Parametros!$C$24,0)</f>
        <v>155</v>
      </c>
      <c r="M17" s="25" t="n">
        <f aca="false">ROUND(I17*Parametros!$C$27,0)</f>
        <v>201</v>
      </c>
      <c r="N17" s="25" t="n">
        <f aca="false">ROUND(E17*Parametros!$C$28*Parametros!$C$24,0)</f>
        <v>182</v>
      </c>
      <c r="O17" s="24" t="n">
        <f aca="false">G17/D17</f>
        <v>0.39370824608635</v>
      </c>
      <c r="P17" s="22" t="s">
        <v>231</v>
      </c>
    </row>
    <row r="18" customFormat="false" ht="15" hidden="false" customHeight="true" outlineLevel="0" collapsed="false">
      <c r="A18" s="22" t="s">
        <v>258</v>
      </c>
      <c r="B18" s="22" t="s">
        <v>259</v>
      </c>
      <c r="C18" s="22" t="s">
        <v>143</v>
      </c>
      <c r="D18" s="23" t="n">
        <v>5538</v>
      </c>
      <c r="E18" s="23" t="n">
        <v>598</v>
      </c>
      <c r="F18" s="23" t="n">
        <v>1514</v>
      </c>
      <c r="G18" s="23" t="n">
        <v>3700</v>
      </c>
      <c r="H18" s="26" t="n">
        <f aca="false">G18/F18</f>
        <v>2.44385733157199</v>
      </c>
      <c r="I18" s="25" t="n">
        <f aca="false">E18*H18</f>
        <v>1461.42668428005</v>
      </c>
      <c r="J18" s="25" t="n">
        <f aca="false">ROUND(I18*Parametros!$C$25,0)</f>
        <v>29</v>
      </c>
      <c r="K18" s="25" t="n">
        <f aca="false">ROUND(I18*Parametros!$C$26,0)</f>
        <v>73</v>
      </c>
      <c r="L18" s="25" t="n">
        <f aca="false">ROUND(I18*Parametros!$C$24,0)</f>
        <v>146</v>
      </c>
      <c r="M18" s="25" t="n">
        <f aca="false">ROUND(I18*Parametros!$C$27,0)</f>
        <v>190</v>
      </c>
      <c r="N18" s="25" t="n">
        <f aca="false">ROUND(E18*Parametros!$C$28*Parametros!$C$24,0)</f>
        <v>179</v>
      </c>
      <c r="O18" s="24" t="n">
        <f aca="false">G18/D18</f>
        <v>0.668111231491513</v>
      </c>
      <c r="P18" s="22" t="s">
        <v>231</v>
      </c>
    </row>
    <row r="19" customFormat="false" ht="15" hidden="false" customHeight="true" outlineLevel="0" collapsed="false">
      <c r="A19" s="22" t="s">
        <v>260</v>
      </c>
      <c r="B19" s="22" t="s">
        <v>261</v>
      </c>
      <c r="C19" s="22" t="s">
        <v>181</v>
      </c>
      <c r="D19" s="23" t="n">
        <v>74463</v>
      </c>
      <c r="E19" s="23" t="n">
        <v>587</v>
      </c>
      <c r="F19" s="23" t="n">
        <v>1084</v>
      </c>
      <c r="G19" s="23" t="n">
        <v>2550</v>
      </c>
      <c r="H19" s="26" t="n">
        <f aca="false">G19/F19</f>
        <v>2.35239852398524</v>
      </c>
      <c r="I19" s="25" t="n">
        <f aca="false">E19*H19</f>
        <v>1380.85793357934</v>
      </c>
      <c r="J19" s="25" t="n">
        <f aca="false">ROUND(I19*Parametros!$C$25,0)</f>
        <v>28</v>
      </c>
      <c r="K19" s="25" t="n">
        <f aca="false">ROUND(I19*Parametros!$C$26,0)</f>
        <v>69</v>
      </c>
      <c r="L19" s="25" t="n">
        <f aca="false">ROUND(I19*Parametros!$C$24,0)</f>
        <v>138</v>
      </c>
      <c r="M19" s="25" t="n">
        <f aca="false">ROUND(I19*Parametros!$C$27,0)</f>
        <v>180</v>
      </c>
      <c r="N19" s="25" t="n">
        <f aca="false">ROUND(E19*Parametros!$C$28*Parametros!$C$24,0)</f>
        <v>176</v>
      </c>
      <c r="O19" s="24" t="n">
        <f aca="false">G19/D19</f>
        <v>0.0342451956004996</v>
      </c>
      <c r="P19" s="22" t="s">
        <v>231</v>
      </c>
    </row>
    <row r="20" customFormat="false" ht="15" hidden="false" customHeight="true" outlineLevel="0" collapsed="false">
      <c r="A20" s="22" t="s">
        <v>262</v>
      </c>
      <c r="B20" s="22" t="s">
        <v>263</v>
      </c>
      <c r="C20" s="22" t="s">
        <v>143</v>
      </c>
      <c r="D20" s="23" t="n">
        <v>34699</v>
      </c>
      <c r="E20" s="23" t="n">
        <v>718</v>
      </c>
      <c r="F20" s="23" t="n">
        <v>3824</v>
      </c>
      <c r="G20" s="23" t="n">
        <v>7130</v>
      </c>
      <c r="H20" s="26" t="n">
        <f aca="false">G20/F20</f>
        <v>1.86453974895397</v>
      </c>
      <c r="I20" s="25" t="n">
        <f aca="false">E20*H20</f>
        <v>1338.73953974895</v>
      </c>
      <c r="J20" s="25" t="n">
        <f aca="false">ROUND(I20*Parametros!$C$25,0)</f>
        <v>27</v>
      </c>
      <c r="K20" s="25" t="n">
        <f aca="false">ROUND(I20*Parametros!$C$26,0)</f>
        <v>67</v>
      </c>
      <c r="L20" s="25" t="n">
        <f aca="false">ROUND(I20*Parametros!$C$24,0)</f>
        <v>134</v>
      </c>
      <c r="M20" s="25" t="n">
        <f aca="false">ROUND(I20*Parametros!$C$27,0)</f>
        <v>174</v>
      </c>
      <c r="N20" s="25" t="n">
        <f aca="false">ROUND(E20*Parametros!$C$28*Parametros!$C$24,0)</f>
        <v>215</v>
      </c>
      <c r="O20" s="24" t="n">
        <f aca="false">G20/D20</f>
        <v>0.205481425977694</v>
      </c>
      <c r="P20" s="22" t="s">
        <v>231</v>
      </c>
    </row>
    <row r="21" customFormat="false" ht="15" hidden="false" customHeight="true" outlineLevel="0" collapsed="false">
      <c r="A21" s="22" t="s">
        <v>264</v>
      </c>
      <c r="B21" s="22" t="s">
        <v>265</v>
      </c>
      <c r="C21" s="22" t="s">
        <v>143</v>
      </c>
      <c r="D21" s="23" t="n">
        <v>14922</v>
      </c>
      <c r="E21" s="23" t="n">
        <v>565</v>
      </c>
      <c r="F21" s="23" t="n">
        <v>2196</v>
      </c>
      <c r="G21" s="23" t="n">
        <v>4986</v>
      </c>
      <c r="H21" s="26" t="n">
        <f aca="false">G21/F21</f>
        <v>2.27049180327869</v>
      </c>
      <c r="I21" s="25" t="n">
        <f aca="false">E21*H21</f>
        <v>1282.82786885246</v>
      </c>
      <c r="J21" s="25" t="n">
        <f aca="false">ROUND(I21*Parametros!$C$25,0)</f>
        <v>26</v>
      </c>
      <c r="K21" s="25" t="n">
        <f aca="false">ROUND(I21*Parametros!$C$26,0)</f>
        <v>64</v>
      </c>
      <c r="L21" s="25" t="n">
        <f aca="false">ROUND(I21*Parametros!$C$24,0)</f>
        <v>128</v>
      </c>
      <c r="M21" s="25" t="n">
        <f aca="false">ROUND(I21*Parametros!$C$27,0)</f>
        <v>167</v>
      </c>
      <c r="N21" s="25" t="n">
        <f aca="false">ROUND(E21*Parametros!$C$28*Parametros!$C$24,0)</f>
        <v>170</v>
      </c>
      <c r="O21" s="24" t="n">
        <f aca="false">G21/D21</f>
        <v>0.334137515078408</v>
      </c>
      <c r="P21" s="22" t="s">
        <v>231</v>
      </c>
    </row>
    <row r="22" customFormat="false" ht="15" hidden="false" customHeight="true" outlineLevel="0" collapsed="false">
      <c r="A22" s="22" t="s">
        <v>266</v>
      </c>
      <c r="B22" s="22" t="s">
        <v>267</v>
      </c>
      <c r="C22" s="22" t="s">
        <v>143</v>
      </c>
      <c r="D22" s="23" t="n">
        <v>16021</v>
      </c>
      <c r="E22" s="23" t="n">
        <v>539</v>
      </c>
      <c r="F22" s="23" t="n">
        <v>2180</v>
      </c>
      <c r="G22" s="23" t="n">
        <v>5076</v>
      </c>
      <c r="H22" s="26" t="n">
        <f aca="false">G22/F22</f>
        <v>2.32844036697248</v>
      </c>
      <c r="I22" s="25" t="n">
        <f aca="false">E22*H22</f>
        <v>1255.02935779817</v>
      </c>
      <c r="J22" s="25" t="n">
        <f aca="false">ROUND(I22*Parametros!$C$25,0)</f>
        <v>25</v>
      </c>
      <c r="K22" s="25" t="n">
        <f aca="false">ROUND(I22*Parametros!$C$26,0)</f>
        <v>63</v>
      </c>
      <c r="L22" s="25" t="n">
        <f aca="false">ROUND(I22*Parametros!$C$24,0)</f>
        <v>126</v>
      </c>
      <c r="M22" s="25" t="n">
        <f aca="false">ROUND(I22*Parametros!$C$27,0)</f>
        <v>163</v>
      </c>
      <c r="N22" s="25" t="n">
        <f aca="false">ROUND(E22*Parametros!$C$28*Parametros!$C$24,0)</f>
        <v>162</v>
      </c>
      <c r="O22" s="24" t="n">
        <f aca="false">G22/D22</f>
        <v>0.316834155171338</v>
      </c>
      <c r="P22" s="22" t="s">
        <v>249</v>
      </c>
    </row>
    <row r="23" customFormat="false" ht="15" hidden="false" customHeight="true" outlineLevel="0" collapsed="false">
      <c r="A23" s="22" t="s">
        <v>268</v>
      </c>
      <c r="B23" s="22" t="s">
        <v>269</v>
      </c>
      <c r="C23" s="22" t="s">
        <v>143</v>
      </c>
      <c r="D23" s="23" t="n">
        <v>43993</v>
      </c>
      <c r="E23" s="23" t="n">
        <v>546</v>
      </c>
      <c r="F23" s="23" t="n">
        <v>2544</v>
      </c>
      <c r="G23" s="23" t="n">
        <v>5325</v>
      </c>
      <c r="H23" s="26" t="n">
        <f aca="false">G23/F23</f>
        <v>2.09316037735849</v>
      </c>
      <c r="I23" s="25" t="n">
        <f aca="false">E23*H23</f>
        <v>1142.86556603774</v>
      </c>
      <c r="J23" s="25" t="n">
        <f aca="false">ROUND(I23*Parametros!$C$25,0)</f>
        <v>23</v>
      </c>
      <c r="K23" s="25" t="n">
        <f aca="false">ROUND(I23*Parametros!$C$26,0)</f>
        <v>57</v>
      </c>
      <c r="L23" s="25" t="n">
        <f aca="false">ROUND(I23*Parametros!$C$24,0)</f>
        <v>114</v>
      </c>
      <c r="M23" s="25" t="n">
        <f aca="false">ROUND(I23*Parametros!$C$27,0)</f>
        <v>149</v>
      </c>
      <c r="N23" s="25" t="n">
        <f aca="false">ROUND(E23*Parametros!$C$28*Parametros!$C$24,0)</f>
        <v>164</v>
      </c>
      <c r="O23" s="24" t="n">
        <f aca="false">G23/D23</f>
        <v>0.121041983951992</v>
      </c>
      <c r="P23" s="22" t="s">
        <v>231</v>
      </c>
    </row>
    <row r="24" customFormat="false" ht="15" hidden="false" customHeight="true" outlineLevel="0" collapsed="false">
      <c r="A24" s="22" t="s">
        <v>270</v>
      </c>
      <c r="B24" s="22" t="s">
        <v>271</v>
      </c>
      <c r="C24" s="22" t="s">
        <v>143</v>
      </c>
      <c r="D24" s="23" t="n">
        <v>44172</v>
      </c>
      <c r="E24" s="23" t="n">
        <v>550</v>
      </c>
      <c r="F24" s="23" t="n">
        <v>5228</v>
      </c>
      <c r="G24" s="23" t="n">
        <v>10677</v>
      </c>
      <c r="H24" s="26" t="n">
        <f aca="false">G24/F24</f>
        <v>2.04227237949503</v>
      </c>
      <c r="I24" s="25" t="n">
        <f aca="false">E24*H24</f>
        <v>1123.24980872226</v>
      </c>
      <c r="J24" s="25" t="n">
        <f aca="false">ROUND(I24*Parametros!$C$25,0)</f>
        <v>22</v>
      </c>
      <c r="K24" s="25" t="n">
        <f aca="false">ROUND(I24*Parametros!$C$26,0)</f>
        <v>56</v>
      </c>
      <c r="L24" s="25" t="n">
        <f aca="false">ROUND(I24*Parametros!$C$24,0)</f>
        <v>112</v>
      </c>
      <c r="M24" s="25" t="n">
        <f aca="false">ROUND(I24*Parametros!$C$27,0)</f>
        <v>146</v>
      </c>
      <c r="N24" s="25" t="n">
        <f aca="false">ROUND(E24*Parametros!$C$28*Parametros!$C$24,0)</f>
        <v>165</v>
      </c>
      <c r="O24" s="24" t="n">
        <f aca="false">G24/D24</f>
        <v>0.241714208095626</v>
      </c>
      <c r="P24" s="22" t="s">
        <v>231</v>
      </c>
    </row>
    <row r="25" customFormat="false" ht="15" hidden="false" customHeight="true" outlineLevel="0" collapsed="false">
      <c r="A25" s="22" t="s">
        <v>272</v>
      </c>
      <c r="B25" s="22" t="s">
        <v>273</v>
      </c>
      <c r="C25" s="22" t="s">
        <v>143</v>
      </c>
      <c r="D25" s="23" t="n">
        <v>7010</v>
      </c>
      <c r="E25" s="23" t="n">
        <v>447</v>
      </c>
      <c r="F25" s="23" t="n">
        <v>1987</v>
      </c>
      <c r="G25" s="23" t="n">
        <v>4563</v>
      </c>
      <c r="H25" s="26" t="n">
        <f aca="false">G25/F25</f>
        <v>2.2964267740312</v>
      </c>
      <c r="I25" s="25" t="n">
        <f aca="false">E25*H25</f>
        <v>1026.50276799195</v>
      </c>
      <c r="J25" s="25" t="n">
        <f aca="false">ROUND(I25*Parametros!$C$25,0)</f>
        <v>21</v>
      </c>
      <c r="K25" s="25" t="n">
        <f aca="false">ROUND(I25*Parametros!$C$26,0)</f>
        <v>51</v>
      </c>
      <c r="L25" s="25" t="n">
        <f aca="false">ROUND(I25*Parametros!$C$24,0)</f>
        <v>103</v>
      </c>
      <c r="M25" s="25" t="n">
        <f aca="false">ROUND(I25*Parametros!$C$27,0)</f>
        <v>133</v>
      </c>
      <c r="N25" s="25" t="n">
        <f aca="false">ROUND(E25*Parametros!$C$28*Parametros!$C$24,0)</f>
        <v>134</v>
      </c>
      <c r="O25" s="24" t="n">
        <f aca="false">G25/D25</f>
        <v>0.6509272467903</v>
      </c>
      <c r="P25" s="22" t="s">
        <v>231</v>
      </c>
    </row>
    <row r="26" customFormat="false" ht="15" hidden="false" customHeight="true" outlineLevel="0" collapsed="false">
      <c r="A26" s="22" t="s">
        <v>274</v>
      </c>
      <c r="B26" s="22" t="s">
        <v>275</v>
      </c>
      <c r="C26" s="22" t="s">
        <v>143</v>
      </c>
      <c r="D26" s="23" t="n">
        <v>17825</v>
      </c>
      <c r="E26" s="23" t="n">
        <v>501</v>
      </c>
      <c r="F26" s="23" t="n">
        <v>2284</v>
      </c>
      <c r="G26" s="23" t="n">
        <v>4512</v>
      </c>
      <c r="H26" s="26" t="n">
        <f aca="false">G26/F26</f>
        <v>1.97548161120841</v>
      </c>
      <c r="I26" s="25" t="n">
        <f aca="false">E26*H26</f>
        <v>989.716287215412</v>
      </c>
      <c r="J26" s="25" t="n">
        <f aca="false">ROUND(I26*Parametros!$C$25,0)</f>
        <v>20</v>
      </c>
      <c r="K26" s="25" t="n">
        <f aca="false">ROUND(I26*Parametros!$C$26,0)</f>
        <v>49</v>
      </c>
      <c r="L26" s="25" t="n">
        <f aca="false">ROUND(I26*Parametros!$C$24,0)</f>
        <v>99</v>
      </c>
      <c r="M26" s="25" t="n">
        <f aca="false">ROUND(I26*Parametros!$C$27,0)</f>
        <v>129</v>
      </c>
      <c r="N26" s="25" t="n">
        <f aca="false">ROUND(E26*Parametros!$C$28*Parametros!$C$24,0)</f>
        <v>150</v>
      </c>
      <c r="O26" s="24" t="n">
        <f aca="false">G26/D26</f>
        <v>0.25312762973352</v>
      </c>
      <c r="P26" s="22" t="s">
        <v>244</v>
      </c>
    </row>
    <row r="27" customFormat="false" ht="15" hidden="false" customHeight="true" outlineLevel="0" collapsed="false">
      <c r="A27" s="22" t="s">
        <v>276</v>
      </c>
      <c r="B27" s="22" t="s">
        <v>277</v>
      </c>
      <c r="C27" s="22" t="s">
        <v>143</v>
      </c>
      <c r="D27" s="23" t="n">
        <v>18765</v>
      </c>
      <c r="E27" s="23" t="n">
        <v>512</v>
      </c>
      <c r="F27" s="23" t="n">
        <v>1726</v>
      </c>
      <c r="G27" s="23" t="n">
        <v>3156</v>
      </c>
      <c r="H27" s="26" t="n">
        <f aca="false">G27/F27</f>
        <v>1.82850521436848</v>
      </c>
      <c r="I27" s="25" t="n">
        <f aca="false">E27*H27</f>
        <v>936.194669756663</v>
      </c>
      <c r="J27" s="25" t="n">
        <f aca="false">ROUND(I27*Parametros!$C$25,0)</f>
        <v>19</v>
      </c>
      <c r="K27" s="25" t="n">
        <f aca="false">ROUND(I27*Parametros!$C$26,0)</f>
        <v>47</v>
      </c>
      <c r="L27" s="25" t="n">
        <f aca="false">ROUND(I27*Parametros!$C$24,0)</f>
        <v>94</v>
      </c>
      <c r="M27" s="25" t="n">
        <f aca="false">ROUND(I27*Parametros!$C$27,0)</f>
        <v>122</v>
      </c>
      <c r="N27" s="25" t="n">
        <f aca="false">ROUND(E27*Parametros!$C$28*Parametros!$C$24,0)</f>
        <v>154</v>
      </c>
      <c r="O27" s="24" t="n">
        <f aca="false">G27/D27</f>
        <v>0.168185451638689</v>
      </c>
      <c r="P27" s="22" t="s">
        <v>231</v>
      </c>
    </row>
    <row r="28" customFormat="false" ht="15" hidden="false" customHeight="true" outlineLevel="0" collapsed="false">
      <c r="A28" s="22" t="s">
        <v>278</v>
      </c>
      <c r="B28" s="22" t="s">
        <v>279</v>
      </c>
      <c r="C28" s="22" t="s">
        <v>230</v>
      </c>
      <c r="D28" s="23" t="n">
        <v>28386</v>
      </c>
      <c r="E28" s="23" t="n">
        <v>417</v>
      </c>
      <c r="F28" s="23" t="n">
        <v>1982</v>
      </c>
      <c r="G28" s="23" t="n">
        <v>4408</v>
      </c>
      <c r="H28" s="26" t="n">
        <f aca="false">G28/F28</f>
        <v>2.22401614530777</v>
      </c>
      <c r="I28" s="25" t="n">
        <f aca="false">E28*H28</f>
        <v>927.41473259334</v>
      </c>
      <c r="J28" s="25" t="n">
        <f aca="false">ROUND(I28*Parametros!$C$25,0)</f>
        <v>19</v>
      </c>
      <c r="K28" s="25" t="n">
        <f aca="false">ROUND(I28*Parametros!$C$26,0)</f>
        <v>46</v>
      </c>
      <c r="L28" s="25" t="n">
        <f aca="false">ROUND(I28*Parametros!$C$24,0)</f>
        <v>93</v>
      </c>
      <c r="M28" s="25" t="n">
        <f aca="false">ROUND(I28*Parametros!$C$27,0)</f>
        <v>121</v>
      </c>
      <c r="N28" s="25" t="n">
        <f aca="false">ROUND(E28*Parametros!$C$28*Parametros!$C$24,0)</f>
        <v>125</v>
      </c>
      <c r="O28" s="24" t="n">
        <f aca="false">G28/D28</f>
        <v>0.15528781793842</v>
      </c>
      <c r="P28" s="22" t="s">
        <v>244</v>
      </c>
    </row>
    <row r="29" customFormat="false" ht="15" hidden="false" customHeight="true" outlineLevel="0" collapsed="false">
      <c r="A29" s="22" t="s">
        <v>280</v>
      </c>
      <c r="B29" s="22" t="s">
        <v>281</v>
      </c>
      <c r="C29" s="22" t="s">
        <v>143</v>
      </c>
      <c r="D29" s="23" t="n">
        <v>25527</v>
      </c>
      <c r="E29" s="23" t="n">
        <v>584</v>
      </c>
      <c r="F29" s="23" t="n">
        <v>2195</v>
      </c>
      <c r="G29" s="23" t="n">
        <v>3427</v>
      </c>
      <c r="H29" s="26" t="n">
        <f aca="false">G29/F29</f>
        <v>1.56127562642369</v>
      </c>
      <c r="I29" s="25" t="n">
        <f aca="false">E29*H29</f>
        <v>911.784965831435</v>
      </c>
      <c r="J29" s="25" t="n">
        <f aca="false">ROUND(I29*Parametros!$C$25,0)</f>
        <v>18</v>
      </c>
      <c r="K29" s="25" t="n">
        <f aca="false">ROUND(I29*Parametros!$C$26,0)</f>
        <v>46</v>
      </c>
      <c r="L29" s="25" t="n">
        <f aca="false">ROUND(I29*Parametros!$C$24,0)</f>
        <v>91</v>
      </c>
      <c r="M29" s="25" t="n">
        <f aca="false">ROUND(I29*Parametros!$C$27,0)</f>
        <v>119</v>
      </c>
      <c r="N29" s="25" t="n">
        <f aca="false">ROUND(E29*Parametros!$C$28*Parametros!$C$24,0)</f>
        <v>175</v>
      </c>
      <c r="O29" s="24" t="n">
        <f aca="false">G29/D29</f>
        <v>0.134250009793552</v>
      </c>
      <c r="P29" s="22" t="s">
        <v>249</v>
      </c>
    </row>
    <row r="30" customFormat="false" ht="15" hidden="false" customHeight="true" outlineLevel="0" collapsed="false">
      <c r="A30" s="22" t="s">
        <v>282</v>
      </c>
      <c r="B30" s="22" t="s">
        <v>283</v>
      </c>
      <c r="C30" s="22" t="s">
        <v>143</v>
      </c>
      <c r="D30" s="23" t="n">
        <v>16207</v>
      </c>
      <c r="E30" s="23" t="n">
        <v>421</v>
      </c>
      <c r="F30" s="23" t="n">
        <v>2095</v>
      </c>
      <c r="G30" s="23" t="n">
        <v>4418</v>
      </c>
      <c r="H30" s="26" t="n">
        <f aca="false">G30/F30</f>
        <v>2.10883054892601</v>
      </c>
      <c r="I30" s="25" t="n">
        <f aca="false">E30*H30</f>
        <v>887.817661097852</v>
      </c>
      <c r="J30" s="25" t="n">
        <f aca="false">ROUND(I30*Parametros!$C$25,0)</f>
        <v>18</v>
      </c>
      <c r="K30" s="25" t="n">
        <f aca="false">ROUND(I30*Parametros!$C$26,0)</f>
        <v>44</v>
      </c>
      <c r="L30" s="25" t="n">
        <f aca="false">ROUND(I30*Parametros!$C$24,0)</f>
        <v>89</v>
      </c>
      <c r="M30" s="25" t="n">
        <f aca="false">ROUND(I30*Parametros!$C$27,0)</f>
        <v>115</v>
      </c>
      <c r="N30" s="25" t="n">
        <f aca="false">ROUND(E30*Parametros!$C$28*Parametros!$C$24,0)</f>
        <v>126</v>
      </c>
      <c r="O30" s="24" t="n">
        <f aca="false">G30/D30</f>
        <v>0.272598260011106</v>
      </c>
      <c r="P30" s="22" t="s">
        <v>231</v>
      </c>
    </row>
    <row r="31" customFormat="false" ht="15" hidden="false" customHeight="true" outlineLevel="0" collapsed="false">
      <c r="A31" s="22" t="s">
        <v>284</v>
      </c>
      <c r="B31" s="22" t="s">
        <v>285</v>
      </c>
      <c r="C31" s="22" t="s">
        <v>143</v>
      </c>
      <c r="D31" s="23" t="n">
        <v>30248</v>
      </c>
      <c r="E31" s="23" t="n">
        <v>424</v>
      </c>
      <c r="F31" s="23" t="n">
        <v>2620</v>
      </c>
      <c r="G31" s="23" t="n">
        <v>4971</v>
      </c>
      <c r="H31" s="26" t="n">
        <f aca="false">G31/F31</f>
        <v>1.89732824427481</v>
      </c>
      <c r="I31" s="25" t="n">
        <f aca="false">E31*H31</f>
        <v>804.467175572519</v>
      </c>
      <c r="J31" s="25" t="n">
        <f aca="false">ROUND(I31*Parametros!$C$25,0)</f>
        <v>16</v>
      </c>
      <c r="K31" s="25" t="n">
        <f aca="false">ROUND(I31*Parametros!$C$26,0)</f>
        <v>40</v>
      </c>
      <c r="L31" s="25" t="n">
        <f aca="false">ROUND(I31*Parametros!$C$24,0)</f>
        <v>80</v>
      </c>
      <c r="M31" s="25" t="n">
        <f aca="false">ROUND(I31*Parametros!$C$27,0)</f>
        <v>105</v>
      </c>
      <c r="N31" s="25" t="n">
        <f aca="false">ROUND(E31*Parametros!$C$28*Parametros!$C$24,0)</f>
        <v>127</v>
      </c>
      <c r="O31" s="24" t="n">
        <f aca="false">G31/D31</f>
        <v>0.164341444062417</v>
      </c>
      <c r="P31" s="22" t="s">
        <v>249</v>
      </c>
    </row>
    <row r="32" customFormat="false" ht="15" hidden="false" customHeight="true" outlineLevel="0" collapsed="false">
      <c r="A32" s="22" t="s">
        <v>286</v>
      </c>
      <c r="B32" s="22" t="s">
        <v>287</v>
      </c>
      <c r="C32" s="22" t="s">
        <v>198</v>
      </c>
      <c r="D32" s="23" t="n">
        <v>28971</v>
      </c>
      <c r="E32" s="23" t="n">
        <v>409</v>
      </c>
      <c r="F32" s="23" t="n">
        <v>2634</v>
      </c>
      <c r="G32" s="23" t="n">
        <v>4714</v>
      </c>
      <c r="H32" s="26" t="n">
        <f aca="false">G32/F32</f>
        <v>1.78967350037965</v>
      </c>
      <c r="I32" s="25" t="n">
        <f aca="false">E32*H32</f>
        <v>731.976461655277</v>
      </c>
      <c r="J32" s="25" t="n">
        <f aca="false">ROUND(I32*Parametros!$C$25,0)</f>
        <v>15</v>
      </c>
      <c r="K32" s="25" t="n">
        <f aca="false">ROUND(I32*Parametros!$C$26,0)</f>
        <v>37</v>
      </c>
      <c r="L32" s="25" t="n">
        <f aca="false">ROUND(I32*Parametros!$C$24,0)</f>
        <v>73</v>
      </c>
      <c r="M32" s="25" t="n">
        <f aca="false">ROUND(I32*Parametros!$C$27,0)</f>
        <v>95</v>
      </c>
      <c r="N32" s="25" t="n">
        <f aca="false">ROUND(E32*Parametros!$C$28*Parametros!$C$24,0)</f>
        <v>123</v>
      </c>
      <c r="O32" s="24" t="n">
        <f aca="false">G32/D32</f>
        <v>0.162714438576508</v>
      </c>
      <c r="P32" s="22" t="s">
        <v>231</v>
      </c>
    </row>
    <row r="33" customFormat="false" ht="15" hidden="false" customHeight="true" outlineLevel="0" collapsed="false">
      <c r="A33" s="22" t="s">
        <v>288</v>
      </c>
      <c r="B33" s="22" t="s">
        <v>289</v>
      </c>
      <c r="C33" s="22" t="s">
        <v>198</v>
      </c>
      <c r="D33" s="23" t="n">
        <v>74399</v>
      </c>
      <c r="E33" s="23" t="n">
        <v>450</v>
      </c>
      <c r="F33" s="23" t="n">
        <v>6883</v>
      </c>
      <c r="G33" s="23" t="n">
        <v>10370</v>
      </c>
      <c r="H33" s="26" t="n">
        <f aca="false">G33/F33</f>
        <v>1.50661048961209</v>
      </c>
      <c r="I33" s="25" t="n">
        <f aca="false">E33*H33</f>
        <v>677.97472032544</v>
      </c>
      <c r="J33" s="25" t="n">
        <f aca="false">ROUND(I33*Parametros!$C$25,0)</f>
        <v>14</v>
      </c>
      <c r="K33" s="25" t="n">
        <f aca="false">ROUND(I33*Parametros!$C$26,0)</f>
        <v>34</v>
      </c>
      <c r="L33" s="25" t="n">
        <f aca="false">ROUND(I33*Parametros!$C$24,0)</f>
        <v>68</v>
      </c>
      <c r="M33" s="25" t="n">
        <f aca="false">ROUND(I33*Parametros!$C$27,0)</f>
        <v>88</v>
      </c>
      <c r="N33" s="25" t="n">
        <f aca="false">ROUND(E33*Parametros!$C$28*Parametros!$C$24,0)</f>
        <v>135</v>
      </c>
      <c r="O33" s="24" t="n">
        <f aca="false">G33/D33</f>
        <v>0.139383593865509</v>
      </c>
      <c r="P33" s="22" t="s">
        <v>231</v>
      </c>
    </row>
    <row r="34" customFormat="false" ht="15" hidden="false" customHeight="true" outlineLevel="0" collapsed="false">
      <c r="B34" s="28" t="s">
        <v>290</v>
      </c>
      <c r="E34" s="33" t="n">
        <f aca="false">SUM(E5:E33)</f>
        <v>88091</v>
      </c>
      <c r="I34" s="33" t="n">
        <f aca="false">SUM(I5:I33)</f>
        <v>188790.188814071</v>
      </c>
      <c r="J34" s="33" t="n">
        <f aca="false">SUM(J5:J33)</f>
        <v>3777</v>
      </c>
      <c r="K34" s="33" t="n">
        <f aca="false">SUM(K5:K33)</f>
        <v>9438</v>
      </c>
      <c r="L34" s="33" t="n">
        <f aca="false">SUM(L5:L33)</f>
        <v>18880</v>
      </c>
      <c r="M34" s="33" t="n">
        <f aca="false">SUM(M5:M33)</f>
        <v>24546</v>
      </c>
      <c r="N34" s="33" t="n">
        <f aca="false">SUM(N5:N33)</f>
        <v>26428</v>
      </c>
    </row>
    <row r="36" customFormat="false" ht="15" hidden="false" customHeight="true" outlineLevel="0" collapsed="false">
      <c r="A36" s="5" t="s">
        <v>291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0"/>
    <col collapsed="false" customWidth="true" hidden="false" outlineLevel="0" max="3" min="3" style="0" width="22"/>
    <col collapsed="false" customWidth="true" hidden="false" outlineLevel="0" max="4" min="4" style="0" width="16"/>
    <col collapsed="false" customWidth="true" hidden="false" outlineLevel="0" max="8" min="5" style="0" width="11"/>
    <col collapsed="false" customWidth="true" hidden="false" outlineLevel="0" max="9" min="9" style="0" width="60"/>
  </cols>
  <sheetData>
    <row r="1" customFormat="false" ht="15" hidden="false" customHeight="false" outlineLevel="0" collapsed="false">
      <c r="A1" s="1" t="s">
        <v>292</v>
      </c>
    </row>
    <row r="4" customFormat="false" ht="15" hidden="false" customHeight="false" outlineLevel="0" collapsed="false">
      <c r="A4" s="2" t="s">
        <v>293</v>
      </c>
      <c r="B4" s="2" t="s">
        <v>294</v>
      </c>
      <c r="C4" s="2" t="s">
        <v>295</v>
      </c>
      <c r="D4" s="2" t="s">
        <v>296</v>
      </c>
      <c r="E4" s="2" t="s">
        <v>297</v>
      </c>
      <c r="F4" s="2" t="s">
        <v>298</v>
      </c>
      <c r="G4" s="2" t="s">
        <v>299</v>
      </c>
      <c r="H4" s="2" t="s">
        <v>300</v>
      </c>
      <c r="I4" s="2" t="s">
        <v>301</v>
      </c>
    </row>
    <row r="5" customFormat="false" ht="15" hidden="false" customHeight="false" outlineLevel="0" collapsed="false">
      <c r="A5" s="0" t="s">
        <v>302</v>
      </c>
      <c r="B5" s="0" t="s">
        <v>228</v>
      </c>
      <c r="C5" s="0" t="s">
        <v>229</v>
      </c>
      <c r="D5" s="0" t="s">
        <v>230</v>
      </c>
      <c r="E5" s="0" t="s">
        <v>303</v>
      </c>
      <c r="F5" s="0" t="s">
        <v>304</v>
      </c>
      <c r="G5" s="0" t="n">
        <v>4.804985</v>
      </c>
      <c r="H5" s="0" t="n">
        <v>-75.719711</v>
      </c>
      <c r="I5" s="0" t="s">
        <v>305</v>
      </c>
    </row>
    <row r="6" customFormat="false" ht="15" hidden="false" customHeight="false" outlineLevel="0" collapsed="false">
      <c r="A6" s="0" t="s">
        <v>306</v>
      </c>
      <c r="B6" s="0" t="s">
        <v>232</v>
      </c>
      <c r="C6" s="0" t="s">
        <v>233</v>
      </c>
      <c r="D6" s="0" t="s">
        <v>143</v>
      </c>
      <c r="E6" s="0" t="s">
        <v>303</v>
      </c>
      <c r="F6" s="0" t="s">
        <v>304</v>
      </c>
      <c r="G6" s="0" t="n">
        <v>3.413686</v>
      </c>
      <c r="H6" s="0" t="n">
        <v>-76.52133</v>
      </c>
      <c r="I6" s="0" t="s">
        <v>305</v>
      </c>
    </row>
    <row r="7" customFormat="false" ht="15" hidden="false" customHeight="false" outlineLevel="0" collapsed="false">
      <c r="A7" s="0" t="s">
        <v>307</v>
      </c>
      <c r="B7" s="0" t="s">
        <v>234</v>
      </c>
      <c r="C7" s="0" t="s">
        <v>235</v>
      </c>
      <c r="D7" s="0" t="s">
        <v>143</v>
      </c>
      <c r="E7" s="0" t="s">
        <v>303</v>
      </c>
      <c r="F7" s="0" t="s">
        <v>304</v>
      </c>
      <c r="G7" s="0" t="n">
        <v>3.875708</v>
      </c>
      <c r="H7" s="0" t="n">
        <v>-77.01074</v>
      </c>
      <c r="I7" s="0" t="s">
        <v>305</v>
      </c>
    </row>
    <row r="8" customFormat="false" ht="15" hidden="false" customHeight="false" outlineLevel="0" collapsed="false">
      <c r="A8" s="0" t="s">
        <v>308</v>
      </c>
      <c r="B8" s="0" t="s">
        <v>236</v>
      </c>
      <c r="C8" s="0" t="s">
        <v>237</v>
      </c>
      <c r="D8" s="0" t="s">
        <v>198</v>
      </c>
      <c r="E8" s="0" t="s">
        <v>303</v>
      </c>
      <c r="F8" s="0" t="s">
        <v>304</v>
      </c>
      <c r="G8" s="0" t="n">
        <v>4.53598</v>
      </c>
      <c r="H8" s="0" t="n">
        <v>-75.680786</v>
      </c>
      <c r="I8" s="0" t="s">
        <v>305</v>
      </c>
    </row>
    <row r="9" customFormat="false" ht="15" hidden="false" customHeight="false" outlineLevel="0" collapsed="false">
      <c r="A9" s="0" t="s">
        <v>309</v>
      </c>
      <c r="B9" s="0" t="s">
        <v>238</v>
      </c>
      <c r="C9" s="0" t="s">
        <v>239</v>
      </c>
      <c r="D9" s="0" t="s">
        <v>230</v>
      </c>
      <c r="E9" s="0" t="s">
        <v>303</v>
      </c>
      <c r="F9" s="0" t="s">
        <v>304</v>
      </c>
      <c r="G9" s="0" t="n">
        <v>4.833131</v>
      </c>
      <c r="H9" s="0" t="n">
        <v>-75.675371</v>
      </c>
      <c r="I9" s="0" t="s">
        <v>305</v>
      </c>
    </row>
    <row r="10" customFormat="false" ht="15" hidden="false" customHeight="false" outlineLevel="0" collapsed="false">
      <c r="A10" s="0" t="s">
        <v>310</v>
      </c>
      <c r="B10" s="0" t="s">
        <v>240</v>
      </c>
      <c r="C10" s="0" t="s">
        <v>241</v>
      </c>
      <c r="D10" s="0" t="s">
        <v>181</v>
      </c>
      <c r="E10" s="0" t="s">
        <v>303</v>
      </c>
      <c r="F10" s="0" t="s">
        <v>304</v>
      </c>
      <c r="G10" s="0" t="n">
        <v>5.057657</v>
      </c>
      <c r="H10" s="0" t="n">
        <v>-75.491025</v>
      </c>
      <c r="I10" s="0" t="s">
        <v>305</v>
      </c>
    </row>
    <row r="11" customFormat="false" ht="15" hidden="false" customHeight="false" outlineLevel="0" collapsed="false">
      <c r="A11" s="0" t="s">
        <v>311</v>
      </c>
      <c r="B11" s="0" t="s">
        <v>242</v>
      </c>
      <c r="C11" s="0" t="s">
        <v>243</v>
      </c>
      <c r="D11" s="0" t="s">
        <v>230</v>
      </c>
      <c r="E11" s="0" t="s">
        <v>303</v>
      </c>
      <c r="F11" s="0" t="s">
        <v>304</v>
      </c>
      <c r="G11" s="0" t="n">
        <v>4.876271</v>
      </c>
      <c r="H11" s="0" t="n">
        <v>-75.623268</v>
      </c>
      <c r="I11" s="0" t="s">
        <v>305</v>
      </c>
    </row>
    <row r="12" customFormat="false" ht="15" hidden="false" customHeight="false" outlineLevel="0" collapsed="false">
      <c r="A12" s="0" t="s">
        <v>312</v>
      </c>
      <c r="B12" s="0" t="s">
        <v>245</v>
      </c>
      <c r="C12" s="0" t="s">
        <v>246</v>
      </c>
      <c r="D12" s="0" t="s">
        <v>198</v>
      </c>
      <c r="E12" s="0" t="s">
        <v>303</v>
      </c>
      <c r="F12" s="0" t="s">
        <v>304</v>
      </c>
      <c r="G12" s="0" t="n">
        <v>4.624387</v>
      </c>
      <c r="H12" s="0" t="n">
        <v>-75.765074</v>
      </c>
      <c r="I12" s="0" t="s">
        <v>305</v>
      </c>
    </row>
    <row r="13" customFormat="false" ht="15" hidden="false" customHeight="false" outlineLevel="0" collapsed="false">
      <c r="A13" s="0" t="s">
        <v>313</v>
      </c>
      <c r="B13" s="0" t="s">
        <v>247</v>
      </c>
      <c r="C13" s="0" t="s">
        <v>248</v>
      </c>
      <c r="D13" s="0" t="s">
        <v>143</v>
      </c>
      <c r="E13" s="0" t="s">
        <v>303</v>
      </c>
      <c r="F13" s="0" t="s">
        <v>304</v>
      </c>
      <c r="G13" s="0" t="n">
        <v>3.657318</v>
      </c>
      <c r="H13" s="0" t="n">
        <v>-76.68886</v>
      </c>
      <c r="I13" s="0" t="s">
        <v>305</v>
      </c>
    </row>
    <row r="14" customFormat="false" ht="15" hidden="false" customHeight="false" outlineLevel="0" collapsed="false">
      <c r="A14" s="0" t="s">
        <v>314</v>
      </c>
      <c r="B14" s="0" t="s">
        <v>250</v>
      </c>
      <c r="C14" s="0" t="s">
        <v>251</v>
      </c>
      <c r="D14" s="0" t="s">
        <v>198</v>
      </c>
      <c r="E14" s="0" t="s">
        <v>303</v>
      </c>
      <c r="F14" s="0" t="s">
        <v>304</v>
      </c>
      <c r="G14" s="0" t="n">
        <v>4.565057</v>
      </c>
      <c r="H14" s="0" t="n">
        <v>-75.749827</v>
      </c>
      <c r="I14" s="0" t="s">
        <v>305</v>
      </c>
    </row>
    <row r="15" customFormat="false" ht="15" hidden="false" customHeight="false" outlineLevel="0" collapsed="false">
      <c r="A15" s="0" t="s">
        <v>315</v>
      </c>
      <c r="B15" s="0" t="s">
        <v>252</v>
      </c>
      <c r="C15" s="0" t="s">
        <v>253</v>
      </c>
      <c r="D15" s="0" t="s">
        <v>143</v>
      </c>
      <c r="E15" s="0" t="s">
        <v>303</v>
      </c>
      <c r="F15" s="0" t="s">
        <v>304</v>
      </c>
      <c r="G15" s="0" t="n">
        <v>4.413601</v>
      </c>
      <c r="H15" s="0" t="n">
        <v>-76.152277</v>
      </c>
      <c r="I15" s="0" t="s">
        <v>305</v>
      </c>
    </row>
    <row r="16" customFormat="false" ht="15" hidden="false" customHeight="false" outlineLevel="0" collapsed="false">
      <c r="A16" s="0" t="s">
        <v>316</v>
      </c>
      <c r="B16" s="0" t="s">
        <v>254</v>
      </c>
      <c r="C16" s="0" t="s">
        <v>255</v>
      </c>
      <c r="D16" s="0" t="s">
        <v>143</v>
      </c>
      <c r="E16" s="0" t="s">
        <v>303</v>
      </c>
      <c r="F16" s="0" t="s">
        <v>304</v>
      </c>
      <c r="G16" s="0" t="n">
        <v>3.861241</v>
      </c>
      <c r="H16" s="0" t="n">
        <v>-76.382698</v>
      </c>
      <c r="I16" s="0" t="s">
        <v>305</v>
      </c>
    </row>
    <row r="17" customFormat="false" ht="15" hidden="false" customHeight="false" outlineLevel="0" collapsed="false">
      <c r="A17" s="0" t="s">
        <v>317</v>
      </c>
      <c r="B17" s="0" t="s">
        <v>256</v>
      </c>
      <c r="C17" s="0" t="s">
        <v>257</v>
      </c>
      <c r="D17" s="0" t="s">
        <v>143</v>
      </c>
      <c r="E17" s="0" t="s">
        <v>303</v>
      </c>
      <c r="F17" s="0" t="s">
        <v>304</v>
      </c>
      <c r="G17" s="0" t="n">
        <v>4.212037</v>
      </c>
      <c r="H17" s="0" t="n">
        <v>-76.318818</v>
      </c>
      <c r="I17" s="0" t="s">
        <v>305</v>
      </c>
    </row>
    <row r="18" customFormat="false" ht="15" hidden="false" customHeight="false" outlineLevel="0" collapsed="false">
      <c r="A18" s="0" t="s">
        <v>318</v>
      </c>
      <c r="B18" s="0" t="s">
        <v>258</v>
      </c>
      <c r="C18" s="0" t="s">
        <v>259</v>
      </c>
      <c r="D18" s="0" t="s">
        <v>143</v>
      </c>
      <c r="E18" s="0" t="s">
        <v>303</v>
      </c>
      <c r="F18" s="0" t="s">
        <v>304</v>
      </c>
      <c r="G18" s="0" t="n">
        <v>4.726945</v>
      </c>
      <c r="H18" s="0" t="n">
        <v>-76.119905</v>
      </c>
      <c r="I18" s="0" t="s">
        <v>305</v>
      </c>
    </row>
    <row r="19" customFormat="false" ht="15" hidden="false" customHeight="false" outlineLevel="0" collapsed="false">
      <c r="A19" s="0" t="s">
        <v>319</v>
      </c>
      <c r="B19" s="0" t="s">
        <v>260</v>
      </c>
      <c r="C19" s="0" t="s">
        <v>261</v>
      </c>
      <c r="D19" s="0" t="s">
        <v>181</v>
      </c>
      <c r="E19" s="0" t="s">
        <v>303</v>
      </c>
      <c r="F19" s="0" t="s">
        <v>304</v>
      </c>
      <c r="G19" s="0" t="n">
        <v>5.038925</v>
      </c>
      <c r="H19" s="0" t="n">
        <v>-75.502487</v>
      </c>
      <c r="I19" s="0" t="s">
        <v>305</v>
      </c>
    </row>
    <row r="20" customFormat="false" ht="15" hidden="false" customHeight="false" outlineLevel="0" collapsed="false">
      <c r="A20" s="0" t="s">
        <v>320</v>
      </c>
      <c r="B20" s="0" t="s">
        <v>262</v>
      </c>
      <c r="C20" s="0" t="s">
        <v>263</v>
      </c>
      <c r="D20" s="0" t="s">
        <v>143</v>
      </c>
      <c r="E20" s="0" t="s">
        <v>303</v>
      </c>
      <c r="F20" s="0" t="s">
        <v>304</v>
      </c>
      <c r="G20" s="0" t="n">
        <v>4.533869</v>
      </c>
      <c r="H20" s="0" t="n">
        <v>-76.099661</v>
      </c>
      <c r="I20" s="0" t="s">
        <v>305</v>
      </c>
    </row>
    <row r="21" customFormat="false" ht="15" hidden="false" customHeight="false" outlineLevel="0" collapsed="false">
      <c r="A21" s="0" t="s">
        <v>321</v>
      </c>
      <c r="B21" s="0" t="s">
        <v>264</v>
      </c>
      <c r="C21" s="0" t="s">
        <v>265</v>
      </c>
      <c r="D21" s="0" t="s">
        <v>143</v>
      </c>
      <c r="E21" s="0" t="s">
        <v>303</v>
      </c>
      <c r="F21" s="0" t="s">
        <v>304</v>
      </c>
      <c r="G21" s="0" t="n">
        <v>4.608085</v>
      </c>
      <c r="H21" s="0" t="n">
        <v>-76.076859</v>
      </c>
      <c r="I21" s="0" t="s">
        <v>305</v>
      </c>
    </row>
    <row r="22" customFormat="false" ht="15" hidden="false" customHeight="false" outlineLevel="0" collapsed="false">
      <c r="A22" s="0" t="s">
        <v>322</v>
      </c>
      <c r="B22" s="0" t="s">
        <v>266</v>
      </c>
      <c r="C22" s="0" t="s">
        <v>267</v>
      </c>
      <c r="D22" s="0" t="s">
        <v>143</v>
      </c>
      <c r="E22" s="0" t="s">
        <v>303</v>
      </c>
      <c r="F22" s="0" t="s">
        <v>304</v>
      </c>
      <c r="G22" s="0" t="n">
        <v>3.821351</v>
      </c>
      <c r="H22" s="0" t="n">
        <v>-76.523329</v>
      </c>
      <c r="I22" s="0" t="s">
        <v>305</v>
      </c>
    </row>
    <row r="23" customFormat="false" ht="15" hidden="false" customHeight="false" outlineLevel="0" collapsed="false">
      <c r="A23" s="0" t="s">
        <v>323</v>
      </c>
      <c r="B23" s="0" t="s">
        <v>268</v>
      </c>
      <c r="C23" s="0" t="s">
        <v>269</v>
      </c>
      <c r="D23" s="0" t="s">
        <v>143</v>
      </c>
      <c r="E23" s="0" t="s">
        <v>303</v>
      </c>
      <c r="F23" s="0" t="s">
        <v>304</v>
      </c>
      <c r="G23" s="0" t="n">
        <v>4.392658</v>
      </c>
      <c r="H23" s="0" t="n">
        <v>-76.070795</v>
      </c>
      <c r="I23" s="0" t="s">
        <v>305</v>
      </c>
    </row>
    <row r="24" customFormat="false" ht="15" hidden="false" customHeight="false" outlineLevel="0" collapsed="false">
      <c r="A24" s="0" t="s">
        <v>324</v>
      </c>
      <c r="B24" s="0" t="s">
        <v>270</v>
      </c>
      <c r="C24" s="0" t="s">
        <v>271</v>
      </c>
      <c r="D24" s="0" t="s">
        <v>143</v>
      </c>
      <c r="E24" s="0" t="s">
        <v>303</v>
      </c>
      <c r="F24" s="0" t="s">
        <v>304</v>
      </c>
      <c r="G24" s="0" t="n">
        <v>4.270714</v>
      </c>
      <c r="H24" s="0" t="n">
        <v>-75.931629</v>
      </c>
      <c r="I24" s="0" t="s">
        <v>305</v>
      </c>
    </row>
    <row r="25" customFormat="false" ht="15" hidden="false" customHeight="false" outlineLevel="0" collapsed="false">
      <c r="A25" s="0" t="s">
        <v>325</v>
      </c>
      <c r="B25" s="0" t="s">
        <v>272</v>
      </c>
      <c r="C25" s="0" t="s">
        <v>273</v>
      </c>
      <c r="D25" s="0" t="s">
        <v>143</v>
      </c>
      <c r="E25" s="0" t="s">
        <v>303</v>
      </c>
      <c r="F25" s="0" t="s">
        <v>304</v>
      </c>
      <c r="G25" s="0" t="n">
        <v>4.760874</v>
      </c>
      <c r="H25" s="0" t="n">
        <v>-76.221611</v>
      </c>
      <c r="I25" s="0" t="s">
        <v>305</v>
      </c>
    </row>
    <row r="26" customFormat="false" ht="15" hidden="false" customHeight="false" outlineLevel="0" collapsed="false">
      <c r="A26" s="0" t="s">
        <v>326</v>
      </c>
      <c r="B26" s="0" t="s">
        <v>274</v>
      </c>
      <c r="C26" s="0" t="s">
        <v>275</v>
      </c>
      <c r="D26" s="0" t="s">
        <v>143</v>
      </c>
      <c r="E26" s="0" t="s">
        <v>303</v>
      </c>
      <c r="F26" s="0" t="s">
        <v>304</v>
      </c>
      <c r="G26" s="0" t="n">
        <v>4.794984</v>
      </c>
      <c r="H26" s="0" t="n">
        <v>-75.992003</v>
      </c>
      <c r="I26" s="0" t="s">
        <v>305</v>
      </c>
    </row>
    <row r="27" customFormat="false" ht="15" hidden="false" customHeight="false" outlineLevel="0" collapsed="false">
      <c r="A27" s="0" t="s">
        <v>327</v>
      </c>
      <c r="B27" s="0" t="s">
        <v>276</v>
      </c>
      <c r="C27" s="0" t="s">
        <v>277</v>
      </c>
      <c r="D27" s="0" t="s">
        <v>143</v>
      </c>
      <c r="E27" s="0" t="s">
        <v>303</v>
      </c>
      <c r="F27" s="0" t="s">
        <v>304</v>
      </c>
      <c r="G27" s="0" t="n">
        <v>3.649268</v>
      </c>
      <c r="H27" s="0" t="n">
        <v>-76.56805</v>
      </c>
      <c r="I27" s="0" t="s">
        <v>305</v>
      </c>
    </row>
    <row r="28" customFormat="false" ht="15" hidden="false" customHeight="false" outlineLevel="0" collapsed="false">
      <c r="A28" s="0" t="s">
        <v>328</v>
      </c>
      <c r="B28" s="0" t="s">
        <v>278</v>
      </c>
      <c r="C28" s="0" t="s">
        <v>279</v>
      </c>
      <c r="D28" s="0" t="s">
        <v>230</v>
      </c>
      <c r="E28" s="0" t="s">
        <v>303</v>
      </c>
      <c r="F28" s="0" t="s">
        <v>304</v>
      </c>
      <c r="G28" s="0" t="n">
        <v>4.896624</v>
      </c>
      <c r="H28" s="0" t="n">
        <v>-75.880394</v>
      </c>
      <c r="I28" s="0" t="s">
        <v>305</v>
      </c>
    </row>
    <row r="29" customFormat="false" ht="15" hidden="false" customHeight="false" outlineLevel="0" collapsed="false">
      <c r="A29" s="0" t="s">
        <v>329</v>
      </c>
      <c r="B29" s="0" t="s">
        <v>280</v>
      </c>
      <c r="C29" s="0" t="s">
        <v>281</v>
      </c>
      <c r="D29" s="0" t="s">
        <v>143</v>
      </c>
      <c r="E29" s="0" t="s">
        <v>303</v>
      </c>
      <c r="F29" s="0" t="s">
        <v>304</v>
      </c>
      <c r="G29" s="0" t="n">
        <v>4.208358</v>
      </c>
      <c r="H29" s="0" t="n">
        <v>-76.15682</v>
      </c>
      <c r="I29" s="0" t="s">
        <v>305</v>
      </c>
    </row>
    <row r="30" customFormat="false" ht="15" hidden="false" customHeight="false" outlineLevel="0" collapsed="false">
      <c r="A30" s="0" t="s">
        <v>330</v>
      </c>
      <c r="B30" s="0" t="s">
        <v>282</v>
      </c>
      <c r="C30" s="0" t="s">
        <v>283</v>
      </c>
      <c r="D30" s="0" t="s">
        <v>143</v>
      </c>
      <c r="E30" s="0" t="s">
        <v>303</v>
      </c>
      <c r="F30" s="0" t="s">
        <v>304</v>
      </c>
      <c r="G30" s="0" t="n">
        <v>4.156908</v>
      </c>
      <c r="H30" s="0" t="n">
        <v>-76.288313</v>
      </c>
      <c r="I30" s="0" t="s">
        <v>305</v>
      </c>
    </row>
    <row r="31" customFormat="false" ht="15" hidden="false" customHeight="false" outlineLevel="0" collapsed="false">
      <c r="A31" s="0" t="s">
        <v>331</v>
      </c>
      <c r="B31" s="0" t="s">
        <v>284</v>
      </c>
      <c r="C31" s="0" t="s">
        <v>285</v>
      </c>
      <c r="D31" s="0" t="s">
        <v>143</v>
      </c>
      <c r="E31" s="0" t="s">
        <v>303</v>
      </c>
      <c r="F31" s="0" t="s">
        <v>304</v>
      </c>
      <c r="G31" s="0" t="n">
        <v>4.334808</v>
      </c>
      <c r="H31" s="0" t="n">
        <v>-75.830594</v>
      </c>
      <c r="I31" s="0" t="s">
        <v>305</v>
      </c>
    </row>
    <row r="32" customFormat="false" ht="15" hidden="false" customHeight="false" outlineLevel="0" collapsed="false">
      <c r="A32" s="0" t="s">
        <v>332</v>
      </c>
      <c r="B32" s="0" t="s">
        <v>286</v>
      </c>
      <c r="C32" s="0" t="s">
        <v>287</v>
      </c>
      <c r="D32" s="0" t="s">
        <v>198</v>
      </c>
      <c r="E32" s="0" t="s">
        <v>303</v>
      </c>
      <c r="F32" s="0" t="s">
        <v>304</v>
      </c>
      <c r="G32" s="0" t="n">
        <v>4.617759</v>
      </c>
      <c r="H32" s="0" t="n">
        <v>-75.636533</v>
      </c>
      <c r="I32" s="0" t="s">
        <v>305</v>
      </c>
    </row>
    <row r="33" customFormat="false" ht="15" hidden="false" customHeight="false" outlineLevel="0" collapsed="false">
      <c r="A33" s="0" t="s">
        <v>333</v>
      </c>
      <c r="B33" s="0" t="s">
        <v>288</v>
      </c>
      <c r="C33" s="0" t="s">
        <v>289</v>
      </c>
      <c r="D33" s="0" t="s">
        <v>198</v>
      </c>
      <c r="E33" s="0" t="s">
        <v>303</v>
      </c>
      <c r="F33" s="0" t="s">
        <v>304</v>
      </c>
      <c r="G33" s="0" t="n">
        <v>4.520982</v>
      </c>
      <c r="H33" s="0" t="n">
        <v>-75.646085</v>
      </c>
      <c r="I33" s="0" t="s">
        <v>305</v>
      </c>
    </row>
    <row r="34" customFormat="false" ht="15" hidden="false" customHeight="false" outlineLevel="0" collapsed="false">
      <c r="A34" s="0" t="s">
        <v>140</v>
      </c>
      <c r="B34" s="0" t="s">
        <v>141</v>
      </c>
      <c r="C34" s="0" t="s">
        <v>142</v>
      </c>
      <c r="D34" s="0" t="s">
        <v>143</v>
      </c>
      <c r="E34" s="0" t="s">
        <v>334</v>
      </c>
      <c r="F34" s="0" t="s">
        <v>144</v>
      </c>
      <c r="G34" s="0" t="n">
        <v>3.531544</v>
      </c>
      <c r="H34" s="0" t="n">
        <v>-76.298846</v>
      </c>
      <c r="I34" s="0" t="s">
        <v>305</v>
      </c>
    </row>
    <row r="35" customFormat="false" ht="15" hidden="false" customHeight="false" outlineLevel="0" collapsed="false">
      <c r="A35" s="0" t="s">
        <v>145</v>
      </c>
      <c r="B35" s="0" t="s">
        <v>146</v>
      </c>
      <c r="C35" s="0" t="s">
        <v>147</v>
      </c>
      <c r="D35" s="0" t="s">
        <v>143</v>
      </c>
      <c r="E35" s="0" t="s">
        <v>334</v>
      </c>
      <c r="F35" s="0" t="s">
        <v>144</v>
      </c>
      <c r="G35" s="0" t="n">
        <v>4.085399</v>
      </c>
      <c r="H35" s="0" t="n">
        <v>-76.197731</v>
      </c>
      <c r="I35" s="0" t="s">
        <v>305</v>
      </c>
    </row>
    <row r="36" customFormat="false" ht="15" hidden="false" customHeight="false" outlineLevel="0" collapsed="false">
      <c r="A36" s="0" t="s">
        <v>148</v>
      </c>
      <c r="B36" s="0" t="s">
        <v>149</v>
      </c>
      <c r="C36" s="0" t="s">
        <v>150</v>
      </c>
      <c r="D36" s="0" t="s">
        <v>143</v>
      </c>
      <c r="E36" s="0" t="s">
        <v>334</v>
      </c>
      <c r="F36" s="0" t="s">
        <v>144</v>
      </c>
      <c r="G36" s="0" t="n">
        <v>3.258751</v>
      </c>
      <c r="H36" s="0" t="n">
        <v>-76.538472</v>
      </c>
      <c r="I36" s="0" t="s">
        <v>305</v>
      </c>
    </row>
    <row r="37" customFormat="false" ht="15" hidden="false" customHeight="false" outlineLevel="0" collapsed="false">
      <c r="A37" s="0" t="s">
        <v>151</v>
      </c>
      <c r="B37" s="0" t="s">
        <v>152</v>
      </c>
      <c r="C37" s="0" t="s">
        <v>153</v>
      </c>
      <c r="D37" s="0" t="s">
        <v>143</v>
      </c>
      <c r="E37" s="0" t="s">
        <v>334</v>
      </c>
      <c r="F37" s="0" t="s">
        <v>144</v>
      </c>
      <c r="G37" s="0" t="n">
        <v>4.742192</v>
      </c>
      <c r="H37" s="0" t="n">
        <v>-75.924374</v>
      </c>
      <c r="I37" s="0" t="s">
        <v>305</v>
      </c>
    </row>
    <row r="38" customFormat="false" ht="15" hidden="false" customHeight="false" outlineLevel="0" collapsed="false">
      <c r="A38" s="0" t="s">
        <v>154</v>
      </c>
      <c r="B38" s="0" t="s">
        <v>155</v>
      </c>
      <c r="C38" s="0" t="s">
        <v>156</v>
      </c>
      <c r="D38" s="0" t="s">
        <v>143</v>
      </c>
      <c r="E38" s="0" t="s">
        <v>334</v>
      </c>
      <c r="F38" s="0" t="s">
        <v>144</v>
      </c>
      <c r="G38" s="0" t="n">
        <v>3.900736</v>
      </c>
      <c r="H38" s="0" t="n">
        <v>-76.298979</v>
      </c>
      <c r="I38" s="0" t="s">
        <v>305</v>
      </c>
    </row>
    <row r="39" customFormat="false" ht="15" hidden="false" customHeight="false" outlineLevel="0" collapsed="false">
      <c r="A39" s="0" t="s">
        <v>157</v>
      </c>
      <c r="B39" s="0" t="s">
        <v>158</v>
      </c>
      <c r="C39" s="0" t="s">
        <v>159</v>
      </c>
      <c r="D39" s="0" t="s">
        <v>143</v>
      </c>
      <c r="E39" s="0" t="s">
        <v>334</v>
      </c>
      <c r="F39" s="0" t="s">
        <v>144</v>
      </c>
      <c r="G39" s="0" t="n">
        <v>3.408354</v>
      </c>
      <c r="H39" s="0" t="n">
        <v>-76.346519</v>
      </c>
      <c r="I39" s="0" t="s">
        <v>305</v>
      </c>
    </row>
    <row r="40" customFormat="false" ht="15" hidden="false" customHeight="false" outlineLevel="0" collapsed="false">
      <c r="A40" s="0" t="s">
        <v>160</v>
      </c>
      <c r="B40" s="0" t="s">
        <v>161</v>
      </c>
      <c r="C40" s="0" t="s">
        <v>162</v>
      </c>
      <c r="D40" s="0" t="s">
        <v>143</v>
      </c>
      <c r="E40" s="0" t="s">
        <v>334</v>
      </c>
      <c r="F40" s="0" t="s">
        <v>144</v>
      </c>
      <c r="G40" s="0" t="n">
        <v>3.540097</v>
      </c>
      <c r="H40" s="0" t="n">
        <v>-76.499893</v>
      </c>
      <c r="I40" s="0" t="s">
        <v>305</v>
      </c>
    </row>
    <row r="41" customFormat="false" ht="15" hidden="false" customHeight="false" outlineLevel="0" collapsed="false">
      <c r="A41" s="0" t="s">
        <v>163</v>
      </c>
      <c r="B41" s="0" t="s">
        <v>164</v>
      </c>
      <c r="C41" s="0" t="s">
        <v>165</v>
      </c>
      <c r="D41" s="0" t="s">
        <v>143</v>
      </c>
      <c r="E41" s="0" t="s">
        <v>334</v>
      </c>
      <c r="F41" s="0" t="s">
        <v>144</v>
      </c>
      <c r="G41" s="0" t="n">
        <v>3.324118</v>
      </c>
      <c r="H41" s="0" t="n">
        <v>-76.234199</v>
      </c>
      <c r="I41" s="0" t="s">
        <v>305</v>
      </c>
    </row>
    <row r="42" customFormat="false" ht="15" hidden="false" customHeight="false" outlineLevel="0" collapsed="false">
      <c r="A42" s="0" t="s">
        <v>166</v>
      </c>
      <c r="B42" s="0" t="s">
        <v>167</v>
      </c>
      <c r="C42" s="0" t="s">
        <v>168</v>
      </c>
      <c r="D42" s="0" t="s">
        <v>143</v>
      </c>
      <c r="E42" s="0" t="s">
        <v>334</v>
      </c>
      <c r="F42" s="0" t="s">
        <v>144</v>
      </c>
      <c r="G42" s="0" t="n">
        <v>3.684229</v>
      </c>
      <c r="H42" s="0" t="n">
        <v>-76.311972</v>
      </c>
      <c r="I42" s="0" t="s">
        <v>305</v>
      </c>
    </row>
    <row r="43" customFormat="false" ht="15" hidden="false" customHeight="false" outlineLevel="0" collapsed="false">
      <c r="A43" s="0" t="s">
        <v>169</v>
      </c>
      <c r="B43" s="0" t="s">
        <v>170</v>
      </c>
      <c r="C43" s="0" t="s">
        <v>171</v>
      </c>
      <c r="D43" s="0" t="s">
        <v>143</v>
      </c>
      <c r="E43" s="0" t="s">
        <v>334</v>
      </c>
      <c r="F43" s="0" t="s">
        <v>144</v>
      </c>
      <c r="G43" s="0" t="n">
        <v>3.419793</v>
      </c>
      <c r="H43" s="0" t="n">
        <v>-76.241799</v>
      </c>
      <c r="I43" s="0" t="s">
        <v>305</v>
      </c>
    </row>
    <row r="44" customFormat="false" ht="15" hidden="false" customHeight="false" outlineLevel="0" collapsed="false">
      <c r="A44" s="0" t="s">
        <v>172</v>
      </c>
      <c r="B44" s="0" t="s">
        <v>173</v>
      </c>
      <c r="C44" s="0" t="s">
        <v>174</v>
      </c>
      <c r="D44" s="0" t="s">
        <v>143</v>
      </c>
      <c r="E44" s="0" t="s">
        <v>334</v>
      </c>
      <c r="F44" s="0" t="s">
        <v>144</v>
      </c>
      <c r="G44" s="0" t="n">
        <v>3.761815</v>
      </c>
      <c r="H44" s="0" t="n">
        <v>-76.330911</v>
      </c>
      <c r="I44" s="0" t="s">
        <v>305</v>
      </c>
    </row>
    <row r="45" customFormat="false" ht="15" hidden="false" customHeight="false" outlineLevel="0" collapsed="false">
      <c r="A45" s="0" t="s">
        <v>175</v>
      </c>
      <c r="B45" s="0" t="s">
        <v>176</v>
      </c>
      <c r="C45" s="0" t="s">
        <v>177</v>
      </c>
      <c r="D45" s="0" t="s">
        <v>143</v>
      </c>
      <c r="E45" s="0" t="s">
        <v>334</v>
      </c>
      <c r="F45" s="0" t="s">
        <v>144</v>
      </c>
      <c r="G45" s="0" t="n">
        <v>3.724181</v>
      </c>
      <c r="H45" s="0" t="n">
        <v>-76.268068</v>
      </c>
      <c r="I45" s="0" t="s">
        <v>305</v>
      </c>
    </row>
    <row r="46" customFormat="false" ht="15" hidden="false" customHeight="false" outlineLevel="0" collapsed="false">
      <c r="A46" s="0" t="s">
        <v>178</v>
      </c>
      <c r="B46" s="0" t="s">
        <v>179</v>
      </c>
      <c r="C46" s="0" t="s">
        <v>180</v>
      </c>
      <c r="D46" s="0" t="s">
        <v>181</v>
      </c>
      <c r="E46" s="0" t="s">
        <v>334</v>
      </c>
      <c r="F46" s="0" t="s">
        <v>144</v>
      </c>
      <c r="G46" s="0" t="n">
        <v>4.985227</v>
      </c>
      <c r="H46" s="0" t="n">
        <v>-75.607529</v>
      </c>
      <c r="I46" s="0" t="s">
        <v>305</v>
      </c>
    </row>
    <row r="47" customFormat="false" ht="15" hidden="false" customHeight="false" outlineLevel="0" collapsed="false">
      <c r="A47" s="0" t="s">
        <v>182</v>
      </c>
      <c r="B47" s="0" t="s">
        <v>183</v>
      </c>
      <c r="C47" s="0" t="s">
        <v>184</v>
      </c>
      <c r="D47" s="0" t="s">
        <v>181</v>
      </c>
      <c r="E47" s="0" t="s">
        <v>334</v>
      </c>
      <c r="F47" s="0" t="s">
        <v>144</v>
      </c>
      <c r="G47" s="0" t="n">
        <v>5.446843</v>
      </c>
      <c r="H47" s="0" t="n">
        <v>-75.64966</v>
      </c>
      <c r="I47" s="0" t="s">
        <v>305</v>
      </c>
    </row>
    <row r="48" customFormat="false" ht="15" hidden="false" customHeight="false" outlineLevel="0" collapsed="false">
      <c r="A48" s="0" t="s">
        <v>185</v>
      </c>
      <c r="B48" s="0" t="s">
        <v>186</v>
      </c>
      <c r="C48" s="0" t="s">
        <v>187</v>
      </c>
      <c r="D48" s="0" t="s">
        <v>181</v>
      </c>
      <c r="E48" s="0" t="s">
        <v>334</v>
      </c>
      <c r="F48" s="0" t="s">
        <v>144</v>
      </c>
      <c r="G48" s="0" t="n">
        <v>5.610244</v>
      </c>
      <c r="H48" s="0" t="n">
        <v>-75.45487</v>
      </c>
      <c r="I48" s="0" t="s">
        <v>305</v>
      </c>
    </row>
    <row r="49" customFormat="false" ht="15" hidden="false" customHeight="false" outlineLevel="0" collapsed="false">
      <c r="A49" s="0" t="s">
        <v>188</v>
      </c>
      <c r="B49" s="0" t="s">
        <v>189</v>
      </c>
      <c r="C49" s="0" t="s">
        <v>190</v>
      </c>
      <c r="D49" s="0" t="s">
        <v>181</v>
      </c>
      <c r="E49" s="0" t="s">
        <v>334</v>
      </c>
      <c r="F49" s="0" t="s">
        <v>144</v>
      </c>
      <c r="G49" s="0" t="n">
        <v>5.383281</v>
      </c>
      <c r="H49" s="0" t="n">
        <v>-75.160299</v>
      </c>
      <c r="I49" s="0" t="s">
        <v>305</v>
      </c>
    </row>
    <row r="50" customFormat="false" ht="15" hidden="false" customHeight="false" outlineLevel="0" collapsed="false">
      <c r="A50" s="0" t="s">
        <v>191</v>
      </c>
      <c r="B50" s="0" t="s">
        <v>192</v>
      </c>
      <c r="C50" s="0" t="s">
        <v>193</v>
      </c>
      <c r="D50" s="0" t="s">
        <v>181</v>
      </c>
      <c r="E50" s="0" t="s">
        <v>334</v>
      </c>
      <c r="F50" s="0" t="s">
        <v>144</v>
      </c>
      <c r="G50" s="0" t="n">
        <v>5.460834</v>
      </c>
      <c r="H50" s="0" t="n">
        <v>-74.668819</v>
      </c>
      <c r="I50" s="0" t="s">
        <v>305</v>
      </c>
    </row>
    <row r="51" customFormat="false" ht="15" hidden="false" customHeight="false" outlineLevel="0" collapsed="false">
      <c r="A51" s="0" t="s">
        <v>195</v>
      </c>
      <c r="B51" s="0" t="s">
        <v>196</v>
      </c>
      <c r="C51" s="0" t="s">
        <v>197</v>
      </c>
      <c r="D51" s="0" t="s">
        <v>198</v>
      </c>
      <c r="E51" s="0" t="s">
        <v>334</v>
      </c>
      <c r="F51" s="0" t="s">
        <v>199</v>
      </c>
      <c r="G51" s="0" t="n">
        <v>4.453755</v>
      </c>
      <c r="H51" s="0" t="n">
        <v>-75.786887</v>
      </c>
      <c r="I51" s="0" t="s">
        <v>305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0"/>
    <col collapsed="false" customWidth="true" hidden="false" outlineLevel="0" max="20" min="3" style="0" width="11"/>
  </cols>
  <sheetData>
    <row r="1" customFormat="false" ht="15" hidden="false" customHeight="false" outlineLevel="0" collapsed="false">
      <c r="A1" s="1" t="s">
        <v>335</v>
      </c>
    </row>
    <row r="2" customFormat="false" ht="15" hidden="false" customHeight="false" outlineLevel="0" collapsed="false">
      <c r="A2" s="0" t="s">
        <v>336</v>
      </c>
    </row>
    <row r="4" customFormat="false" ht="41.75" hidden="false" customHeight="false" outlineLevel="0" collapsed="false">
      <c r="A4" s="2" t="s">
        <v>337</v>
      </c>
      <c r="B4" s="2" t="s">
        <v>295</v>
      </c>
      <c r="C4" s="2" t="s">
        <v>338</v>
      </c>
      <c r="D4" s="2" t="s">
        <v>339</v>
      </c>
      <c r="E4" s="2" t="s">
        <v>340</v>
      </c>
      <c r="F4" s="2" t="s">
        <v>341</v>
      </c>
      <c r="G4" s="2" t="s">
        <v>342</v>
      </c>
      <c r="H4" s="2" t="s">
        <v>343</v>
      </c>
      <c r="I4" s="2" t="s">
        <v>344</v>
      </c>
      <c r="J4" s="2" t="s">
        <v>345</v>
      </c>
      <c r="K4" s="2" t="s">
        <v>346</v>
      </c>
      <c r="L4" s="2" t="s">
        <v>347</v>
      </c>
      <c r="M4" s="2" t="s">
        <v>348</v>
      </c>
      <c r="N4" s="2" t="s">
        <v>349</v>
      </c>
      <c r="O4" s="2" t="s">
        <v>350</v>
      </c>
      <c r="P4" s="2" t="s">
        <v>351</v>
      </c>
      <c r="Q4" s="2" t="s">
        <v>352</v>
      </c>
      <c r="R4" s="2" t="s">
        <v>353</v>
      </c>
      <c r="S4" s="2" t="s">
        <v>354</v>
      </c>
      <c r="T4" s="2" t="s">
        <v>355</v>
      </c>
    </row>
    <row r="5" customFormat="false" ht="15" hidden="false" customHeight="false" outlineLevel="0" collapsed="false">
      <c r="A5" s="0" t="s">
        <v>302</v>
      </c>
      <c r="B5" s="0" t="s">
        <v>229</v>
      </c>
      <c r="C5" s="34" t="n">
        <v>195</v>
      </c>
      <c r="D5" s="34" t="n">
        <v>117</v>
      </c>
      <c r="E5" s="34" t="n">
        <v>230</v>
      </c>
      <c r="F5" s="34" t="n">
        <v>30.4</v>
      </c>
      <c r="G5" s="0" t="n">
        <v>141.9</v>
      </c>
      <c r="H5" s="34" t="n">
        <v>203</v>
      </c>
      <c r="I5" s="34" t="n">
        <v>200</v>
      </c>
      <c r="J5" s="34" t="n">
        <v>222</v>
      </c>
      <c r="K5" s="34" t="n">
        <v>170</v>
      </c>
      <c r="L5" s="34" t="n">
        <v>206</v>
      </c>
      <c r="M5" s="0" t="n">
        <v>159.4</v>
      </c>
      <c r="N5" s="34" t="n">
        <v>172</v>
      </c>
      <c r="O5" s="34" t="n">
        <v>33</v>
      </c>
      <c r="P5" s="0" t="n">
        <v>107.2</v>
      </c>
      <c r="Q5" s="34" t="n">
        <v>178</v>
      </c>
      <c r="R5" s="34" t="n">
        <v>192</v>
      </c>
      <c r="S5" s="34" t="n">
        <v>223</v>
      </c>
      <c r="T5" s="0" t="n">
        <v>67.1</v>
      </c>
    </row>
    <row r="6" customFormat="false" ht="15" hidden="false" customHeight="false" outlineLevel="0" collapsed="false">
      <c r="A6" s="0" t="s">
        <v>306</v>
      </c>
      <c r="B6" s="0" t="s">
        <v>233</v>
      </c>
      <c r="C6" s="34" t="n">
        <v>34.4</v>
      </c>
      <c r="D6" s="34" t="n">
        <v>96.5</v>
      </c>
      <c r="E6" s="34" t="n">
        <v>19.6</v>
      </c>
      <c r="F6" s="34" t="n">
        <v>185</v>
      </c>
      <c r="G6" s="0" t="n">
        <v>74.5</v>
      </c>
      <c r="H6" s="0" t="n">
        <v>27.7</v>
      </c>
      <c r="I6" s="0" t="n">
        <v>17.7</v>
      </c>
      <c r="J6" s="0" t="n">
        <v>41.8</v>
      </c>
      <c r="K6" s="0" t="n">
        <v>50.3</v>
      </c>
      <c r="L6" s="0" t="n">
        <v>41.4</v>
      </c>
      <c r="M6" s="0" t="n">
        <v>59</v>
      </c>
      <c r="N6" s="0" t="n">
        <v>55.9</v>
      </c>
      <c r="O6" s="0" t="n">
        <v>245.1</v>
      </c>
      <c r="P6" s="0" t="n">
        <v>301.2</v>
      </c>
      <c r="Q6" s="0" t="n">
        <v>366.1</v>
      </c>
      <c r="R6" s="0" t="n">
        <v>402.9</v>
      </c>
      <c r="S6" s="0" t="n">
        <v>432.6</v>
      </c>
      <c r="T6" s="34" t="n">
        <v>169</v>
      </c>
    </row>
    <row r="7" customFormat="false" ht="15" hidden="false" customHeight="false" outlineLevel="0" collapsed="false">
      <c r="A7" s="0" t="s">
        <v>307</v>
      </c>
      <c r="B7" s="0" t="s">
        <v>235</v>
      </c>
      <c r="C7" s="34" t="n">
        <v>144</v>
      </c>
      <c r="D7" s="0" t="n">
        <v>135.1</v>
      </c>
      <c r="E7" s="0" t="n">
        <v>137.6</v>
      </c>
      <c r="F7" s="34" t="n">
        <v>225</v>
      </c>
      <c r="G7" s="34" t="n">
        <v>111</v>
      </c>
      <c r="H7" s="0" t="n">
        <v>140.8</v>
      </c>
      <c r="I7" s="0" t="n">
        <v>128.4</v>
      </c>
      <c r="J7" s="0" t="n">
        <v>154.9</v>
      </c>
      <c r="K7" s="0" t="n">
        <v>133.6</v>
      </c>
      <c r="L7" s="34" t="n">
        <v>155</v>
      </c>
      <c r="M7" s="0" t="n">
        <v>124.6</v>
      </c>
      <c r="N7" s="0" t="n">
        <v>136.3</v>
      </c>
      <c r="O7" s="0" t="n">
        <v>279.3</v>
      </c>
      <c r="P7" s="0" t="n">
        <v>335.3</v>
      </c>
      <c r="Q7" s="0" t="n">
        <v>400.3</v>
      </c>
      <c r="R7" s="0" t="n">
        <v>437</v>
      </c>
      <c r="S7" s="0" t="n">
        <v>466.8</v>
      </c>
      <c r="T7" s="34" t="n">
        <v>208</v>
      </c>
    </row>
    <row r="8" customFormat="false" ht="15" hidden="false" customHeight="false" outlineLevel="0" collapsed="false">
      <c r="A8" s="0" t="s">
        <v>308</v>
      </c>
      <c r="B8" s="0" t="s">
        <v>237</v>
      </c>
      <c r="C8" s="34" t="n">
        <v>167</v>
      </c>
      <c r="D8" s="34" t="n">
        <v>89.1</v>
      </c>
      <c r="E8" s="34" t="n">
        <v>202</v>
      </c>
      <c r="F8" s="34" t="n">
        <v>53.4</v>
      </c>
      <c r="G8" s="0" t="n">
        <v>118.2</v>
      </c>
      <c r="H8" s="34" t="n">
        <v>174</v>
      </c>
      <c r="I8" s="34" t="n">
        <v>171</v>
      </c>
      <c r="J8" s="34" t="n">
        <v>193</v>
      </c>
      <c r="K8" s="0" t="n">
        <v>144.6</v>
      </c>
      <c r="L8" s="34" t="n">
        <v>178</v>
      </c>
      <c r="M8" s="0" t="n">
        <v>135.6</v>
      </c>
      <c r="N8" s="0" t="n">
        <v>147.3</v>
      </c>
      <c r="O8" s="0" t="n">
        <v>76.7</v>
      </c>
      <c r="P8" s="0" t="n">
        <v>151.4</v>
      </c>
      <c r="Q8" s="34" t="n">
        <v>220</v>
      </c>
      <c r="R8" s="0" t="n">
        <v>289.1</v>
      </c>
      <c r="S8" s="34" t="n">
        <v>244</v>
      </c>
      <c r="T8" s="0" t="n">
        <v>20.1</v>
      </c>
    </row>
    <row r="9" customFormat="false" ht="15" hidden="false" customHeight="false" outlineLevel="0" collapsed="false">
      <c r="A9" s="0" t="s">
        <v>309</v>
      </c>
      <c r="B9" s="0" t="s">
        <v>239</v>
      </c>
      <c r="C9" s="34" t="n">
        <v>199</v>
      </c>
      <c r="D9" s="0" t="n">
        <v>120.8</v>
      </c>
      <c r="E9" s="0" t="n">
        <v>233.1</v>
      </c>
      <c r="F9" s="0" t="n">
        <v>34</v>
      </c>
      <c r="G9" s="0" t="n">
        <v>145.6</v>
      </c>
      <c r="H9" s="34" t="n">
        <v>207</v>
      </c>
      <c r="I9" s="34" t="n">
        <v>203</v>
      </c>
      <c r="J9" s="34" t="n">
        <v>226</v>
      </c>
      <c r="K9" s="34" t="n">
        <v>174</v>
      </c>
      <c r="L9" s="34" t="n">
        <v>210</v>
      </c>
      <c r="M9" s="34" t="n">
        <v>164</v>
      </c>
      <c r="N9" s="34" t="n">
        <v>175</v>
      </c>
      <c r="O9" s="0" t="n">
        <v>26.1</v>
      </c>
      <c r="P9" s="0" t="n">
        <v>100.7</v>
      </c>
      <c r="Q9" s="34" t="n">
        <v>171</v>
      </c>
      <c r="R9" s="34" t="n">
        <v>185</v>
      </c>
      <c r="S9" s="34" t="n">
        <v>216</v>
      </c>
      <c r="T9" s="0" t="n">
        <v>68.8</v>
      </c>
    </row>
    <row r="10" customFormat="false" ht="15" hidden="false" customHeight="false" outlineLevel="0" collapsed="false">
      <c r="A10" s="0" t="s">
        <v>310</v>
      </c>
      <c r="B10" s="0" t="s">
        <v>241</v>
      </c>
      <c r="C10" s="0" t="n">
        <v>242</v>
      </c>
      <c r="D10" s="34" t="n">
        <v>171</v>
      </c>
      <c r="E10" s="0" t="n">
        <v>282.8</v>
      </c>
      <c r="F10" s="0" t="n">
        <v>83.7</v>
      </c>
      <c r="G10" s="34" t="n">
        <v>196</v>
      </c>
      <c r="H10" s="0" t="n">
        <v>255.5</v>
      </c>
      <c r="I10" s="0" t="n">
        <v>252.1</v>
      </c>
      <c r="J10" s="0" t="n">
        <v>273.6</v>
      </c>
      <c r="K10" s="34" t="n">
        <v>223</v>
      </c>
      <c r="L10" s="0" t="n">
        <v>259.7</v>
      </c>
      <c r="M10" s="34" t="n">
        <v>212</v>
      </c>
      <c r="N10" s="34" t="n">
        <v>224</v>
      </c>
      <c r="O10" s="34" t="n">
        <v>27.6</v>
      </c>
      <c r="P10" s="0" t="n">
        <v>82</v>
      </c>
      <c r="Q10" s="0" t="n">
        <v>122.6</v>
      </c>
      <c r="R10" s="34" t="n">
        <v>135</v>
      </c>
      <c r="S10" s="34" t="n">
        <v>166</v>
      </c>
      <c r="T10" s="0" t="n">
        <v>118.9</v>
      </c>
    </row>
    <row r="11" customFormat="false" ht="15" hidden="false" customHeight="false" outlineLevel="0" collapsed="false">
      <c r="A11" s="0" t="s">
        <v>311</v>
      </c>
      <c r="B11" s="0" t="s">
        <v>243</v>
      </c>
      <c r="C11" s="34" t="n">
        <v>210</v>
      </c>
      <c r="D11" s="0" t="n">
        <v>131.2</v>
      </c>
      <c r="E11" s="0" t="n">
        <v>243.5</v>
      </c>
      <c r="F11" s="0" t="n">
        <v>44.4</v>
      </c>
      <c r="G11" s="0" t="n">
        <v>156</v>
      </c>
      <c r="H11" s="34" t="n">
        <v>218</v>
      </c>
      <c r="I11" s="34" t="n">
        <v>215</v>
      </c>
      <c r="J11" s="0" t="n">
        <v>234.3</v>
      </c>
      <c r="K11" s="34" t="n">
        <v>185</v>
      </c>
      <c r="L11" s="34" t="n">
        <v>222</v>
      </c>
      <c r="M11" s="34" t="n">
        <v>175</v>
      </c>
      <c r="N11" s="34" t="n">
        <v>187</v>
      </c>
      <c r="O11" s="0" t="n">
        <v>14.7</v>
      </c>
      <c r="P11" s="0" t="n">
        <v>89.4</v>
      </c>
      <c r="Q11" s="0" t="n">
        <v>156.1</v>
      </c>
      <c r="R11" s="34" t="n">
        <v>173</v>
      </c>
      <c r="S11" s="34" t="n">
        <v>204</v>
      </c>
      <c r="T11" s="0" t="n">
        <v>79.6</v>
      </c>
    </row>
    <row r="12" customFormat="false" ht="15" hidden="false" customHeight="false" outlineLevel="0" collapsed="false">
      <c r="A12" s="0" t="s">
        <v>312</v>
      </c>
      <c r="B12" s="0" t="s">
        <v>246</v>
      </c>
      <c r="C12" s="34" t="n">
        <v>194</v>
      </c>
      <c r="D12" s="0" t="n">
        <v>116</v>
      </c>
      <c r="E12" s="34" t="n">
        <v>229</v>
      </c>
      <c r="F12" s="0" t="n">
        <v>32</v>
      </c>
      <c r="G12" s="0" t="n">
        <v>140.7</v>
      </c>
      <c r="H12" s="34" t="n">
        <v>202</v>
      </c>
      <c r="I12" s="34" t="n">
        <v>199</v>
      </c>
      <c r="J12" s="34" t="n">
        <v>221</v>
      </c>
      <c r="K12" s="34" t="n">
        <v>169</v>
      </c>
      <c r="L12" s="34" t="n">
        <v>205</v>
      </c>
      <c r="M12" s="0" t="n">
        <v>158.1</v>
      </c>
      <c r="N12" s="34" t="n">
        <v>170</v>
      </c>
      <c r="O12" s="0" t="n">
        <v>65.9</v>
      </c>
      <c r="P12" s="0" t="n">
        <v>144</v>
      </c>
      <c r="Q12" s="34" t="n">
        <v>218</v>
      </c>
      <c r="R12" s="34" t="n">
        <v>242</v>
      </c>
      <c r="S12" s="0" t="n">
        <v>263.4</v>
      </c>
      <c r="T12" s="0" t="n">
        <v>28.4</v>
      </c>
    </row>
    <row r="13" customFormat="false" ht="15" hidden="false" customHeight="false" outlineLevel="0" collapsed="false">
      <c r="A13" s="0" t="s">
        <v>313</v>
      </c>
      <c r="B13" s="0" t="s">
        <v>248</v>
      </c>
      <c r="C13" s="0" t="n">
        <v>75</v>
      </c>
      <c r="D13" s="0" t="n">
        <v>94.8</v>
      </c>
      <c r="E13" s="0" t="n">
        <v>70.3</v>
      </c>
      <c r="F13" s="34" t="n">
        <v>184</v>
      </c>
      <c r="G13" s="0" t="n">
        <v>69.7</v>
      </c>
      <c r="H13" s="0" t="n">
        <v>73.5</v>
      </c>
      <c r="I13" s="0" t="n">
        <v>61.1</v>
      </c>
      <c r="J13" s="0" t="n">
        <v>87.6</v>
      </c>
      <c r="K13" s="0" t="n">
        <v>93.3</v>
      </c>
      <c r="L13" s="0" t="n">
        <v>92.7</v>
      </c>
      <c r="M13" s="0" t="n">
        <v>84.2</v>
      </c>
      <c r="N13" s="0" t="n">
        <v>96</v>
      </c>
      <c r="O13" s="0" t="n">
        <v>238.9</v>
      </c>
      <c r="P13" s="0" t="n">
        <v>295</v>
      </c>
      <c r="Q13" s="0" t="n">
        <v>360</v>
      </c>
      <c r="R13" s="0" t="n">
        <v>396.7</v>
      </c>
      <c r="S13" s="0" t="n">
        <v>426.4</v>
      </c>
      <c r="T13" s="34" t="n">
        <v>167</v>
      </c>
    </row>
    <row r="14" customFormat="false" ht="15" hidden="false" customHeight="false" outlineLevel="0" collapsed="false">
      <c r="A14" s="0" t="s">
        <v>314</v>
      </c>
      <c r="B14" s="0" t="s">
        <v>251</v>
      </c>
      <c r="C14" s="34" t="n">
        <v>168</v>
      </c>
      <c r="D14" s="0" t="n">
        <v>90.8</v>
      </c>
      <c r="E14" s="34" t="n">
        <v>203</v>
      </c>
      <c r="F14" s="0" t="n">
        <v>41.8</v>
      </c>
      <c r="G14" s="0" t="n">
        <v>115.5</v>
      </c>
      <c r="H14" s="34" t="n">
        <v>176</v>
      </c>
      <c r="I14" s="34" t="n">
        <v>173</v>
      </c>
      <c r="J14" s="34" t="n">
        <v>195</v>
      </c>
      <c r="K14" s="0" t="n">
        <v>142</v>
      </c>
      <c r="L14" s="34" t="n">
        <v>180</v>
      </c>
      <c r="M14" s="0" t="n">
        <v>132.9</v>
      </c>
      <c r="N14" s="0" t="n">
        <v>144.7</v>
      </c>
      <c r="O14" s="0" t="n">
        <v>75.7</v>
      </c>
      <c r="P14" s="0" t="n">
        <v>153.9</v>
      </c>
      <c r="Q14" s="34" t="n">
        <v>224</v>
      </c>
      <c r="R14" s="0" t="n">
        <v>299.6</v>
      </c>
      <c r="S14" s="34" t="n">
        <v>254</v>
      </c>
      <c r="T14" s="0" t="n">
        <v>19.5</v>
      </c>
    </row>
    <row r="15" customFormat="false" ht="15" hidden="false" customHeight="false" outlineLevel="0" collapsed="false">
      <c r="A15" s="0" t="s">
        <v>315</v>
      </c>
      <c r="B15" s="0" t="s">
        <v>253</v>
      </c>
      <c r="C15" s="0" t="n">
        <v>118.7</v>
      </c>
      <c r="D15" s="0" t="n">
        <v>47.3</v>
      </c>
      <c r="E15" s="0" t="n">
        <v>159.5</v>
      </c>
      <c r="F15" s="0" t="n">
        <v>58.7</v>
      </c>
      <c r="G15" s="0" t="n">
        <v>72</v>
      </c>
      <c r="H15" s="0" t="n">
        <v>132.2</v>
      </c>
      <c r="I15" s="0" t="n">
        <v>123</v>
      </c>
      <c r="J15" s="0" t="n">
        <v>150.4</v>
      </c>
      <c r="K15" s="0" t="n">
        <v>98.5</v>
      </c>
      <c r="L15" s="0" t="n">
        <v>136.4</v>
      </c>
      <c r="M15" s="0" t="n">
        <v>89.5</v>
      </c>
      <c r="N15" s="0" t="n">
        <v>101.2</v>
      </c>
      <c r="O15" s="0" t="n">
        <v>114.4</v>
      </c>
      <c r="P15" s="34" t="n">
        <v>162</v>
      </c>
      <c r="Q15" s="34" t="n">
        <v>240</v>
      </c>
      <c r="R15" s="0" t="n">
        <v>272.2</v>
      </c>
      <c r="S15" s="0" t="n">
        <v>316.2</v>
      </c>
      <c r="T15" s="0" t="n">
        <v>56.3</v>
      </c>
    </row>
    <row r="16" customFormat="false" ht="15" hidden="false" customHeight="false" outlineLevel="0" collapsed="false">
      <c r="A16" s="0" t="s">
        <v>316</v>
      </c>
      <c r="B16" s="0" t="s">
        <v>255</v>
      </c>
      <c r="C16" s="0" t="n">
        <v>56.6</v>
      </c>
      <c r="D16" s="0" t="n">
        <v>37.9</v>
      </c>
      <c r="E16" s="0" t="n">
        <v>77.4</v>
      </c>
      <c r="F16" s="0" t="n">
        <v>126.3</v>
      </c>
      <c r="G16" s="0" t="n">
        <v>12.8</v>
      </c>
      <c r="H16" s="0" t="n">
        <v>70.2</v>
      </c>
      <c r="I16" s="0" t="n">
        <v>44.3</v>
      </c>
      <c r="J16" s="0" t="n">
        <v>88.3</v>
      </c>
      <c r="K16" s="0" t="n">
        <v>36.4</v>
      </c>
      <c r="L16" s="0" t="n">
        <v>74.4</v>
      </c>
      <c r="M16" s="0" t="n">
        <v>27.4</v>
      </c>
      <c r="N16" s="0" t="n">
        <v>39.1</v>
      </c>
      <c r="O16" s="34" t="n">
        <v>185</v>
      </c>
      <c r="P16" s="34" t="n">
        <v>239</v>
      </c>
      <c r="Q16" s="0" t="n">
        <v>303.1</v>
      </c>
      <c r="R16" s="0" t="n">
        <v>339.8</v>
      </c>
      <c r="S16" s="0" t="n">
        <v>369.6</v>
      </c>
      <c r="T16" s="0" t="n">
        <v>109.7</v>
      </c>
    </row>
    <row r="17" customFormat="false" ht="15" hidden="false" customHeight="false" outlineLevel="0" collapsed="false">
      <c r="A17" s="0" t="s">
        <v>317</v>
      </c>
      <c r="B17" s="0" t="s">
        <v>257</v>
      </c>
      <c r="C17" s="0" t="n">
        <v>95.6</v>
      </c>
      <c r="D17" s="0" t="n">
        <v>23.9</v>
      </c>
      <c r="E17" s="0" t="n">
        <v>136.4</v>
      </c>
      <c r="F17" s="0" t="n">
        <v>112.9</v>
      </c>
      <c r="G17" s="0" t="n">
        <v>48.9</v>
      </c>
      <c r="H17" s="0" t="n">
        <v>109.1</v>
      </c>
      <c r="I17" s="0" t="n">
        <v>95.2</v>
      </c>
      <c r="J17" s="0" t="n">
        <v>127.2</v>
      </c>
      <c r="K17" s="0" t="n">
        <v>75.4</v>
      </c>
      <c r="L17" s="0" t="n">
        <v>113.3</v>
      </c>
      <c r="M17" s="0" t="n">
        <v>66.3</v>
      </c>
      <c r="N17" s="0" t="n">
        <v>78</v>
      </c>
      <c r="O17" s="34" t="n">
        <v>171</v>
      </c>
      <c r="P17" s="34" t="n">
        <v>211</v>
      </c>
      <c r="Q17" s="0" t="n">
        <v>289.7</v>
      </c>
      <c r="R17" s="0" t="n">
        <v>326.4</v>
      </c>
      <c r="S17" s="0" t="n">
        <v>356.1</v>
      </c>
      <c r="T17" s="0" t="n">
        <v>96.2</v>
      </c>
    </row>
    <row r="18" customFormat="false" ht="15" hidden="false" customHeight="false" outlineLevel="0" collapsed="false">
      <c r="A18" s="0" t="s">
        <v>318</v>
      </c>
      <c r="B18" s="0" t="s">
        <v>259</v>
      </c>
      <c r="C18" s="34" t="n">
        <v>204</v>
      </c>
      <c r="D18" s="0" t="n">
        <v>126.4</v>
      </c>
      <c r="E18" s="0" t="n">
        <v>238.7</v>
      </c>
      <c r="F18" s="0" t="n">
        <v>37.6</v>
      </c>
      <c r="G18" s="0" t="n">
        <v>151.2</v>
      </c>
      <c r="H18" s="34" t="n">
        <v>212</v>
      </c>
      <c r="I18" s="34" t="n">
        <v>209</v>
      </c>
      <c r="J18" s="34" t="n">
        <v>231</v>
      </c>
      <c r="K18" s="34" t="n">
        <v>180</v>
      </c>
      <c r="L18" s="34" t="n">
        <v>216</v>
      </c>
      <c r="M18" s="34" t="n">
        <v>169</v>
      </c>
      <c r="N18" s="34" t="n">
        <v>181</v>
      </c>
      <c r="O18" s="0" t="n">
        <v>95</v>
      </c>
      <c r="P18" s="0" t="n">
        <v>138.9</v>
      </c>
      <c r="Q18" s="34" t="n">
        <v>217</v>
      </c>
      <c r="R18" s="0" t="n">
        <v>280.2</v>
      </c>
      <c r="S18" s="0" t="n">
        <v>330.3</v>
      </c>
      <c r="T18" s="0" t="n">
        <v>95.3</v>
      </c>
    </row>
    <row r="19" customFormat="false" ht="15" hidden="false" customHeight="false" outlineLevel="0" collapsed="false">
      <c r="A19" s="0" t="s">
        <v>319</v>
      </c>
      <c r="B19" s="0" t="s">
        <v>261</v>
      </c>
      <c r="C19" s="0" t="n">
        <v>243</v>
      </c>
      <c r="D19" s="34" t="n">
        <v>172</v>
      </c>
      <c r="E19" s="0" t="n">
        <v>283.8</v>
      </c>
      <c r="F19" s="0" t="n">
        <v>84.7</v>
      </c>
      <c r="G19" s="34" t="n">
        <v>197</v>
      </c>
      <c r="H19" s="0" t="n">
        <v>256.5</v>
      </c>
      <c r="I19" s="0" t="n">
        <v>253.1</v>
      </c>
      <c r="J19" s="0" t="n">
        <v>274.6</v>
      </c>
      <c r="K19" s="34" t="n">
        <v>254</v>
      </c>
      <c r="L19" s="0" t="n">
        <v>260.7</v>
      </c>
      <c r="M19" s="34" t="n">
        <v>214</v>
      </c>
      <c r="N19" s="34" t="n">
        <v>226</v>
      </c>
      <c r="O19" s="0" t="n">
        <v>28.5</v>
      </c>
      <c r="P19" s="0" t="n">
        <v>85.6</v>
      </c>
      <c r="Q19" s="0" t="n">
        <v>127.5</v>
      </c>
      <c r="R19" s="34" t="n">
        <v>134</v>
      </c>
      <c r="S19" s="34" t="n">
        <v>165</v>
      </c>
      <c r="T19" s="0" t="n">
        <v>119.9</v>
      </c>
    </row>
    <row r="20" customFormat="false" ht="15" hidden="false" customHeight="false" outlineLevel="0" collapsed="false">
      <c r="A20" s="0" t="s">
        <v>320</v>
      </c>
      <c r="B20" s="0" t="s">
        <v>263</v>
      </c>
      <c r="C20" s="0" t="n">
        <v>137.5</v>
      </c>
      <c r="D20" s="0" t="n">
        <v>66.1</v>
      </c>
      <c r="E20" s="34" t="n">
        <v>180</v>
      </c>
      <c r="F20" s="0" t="n">
        <v>42.7</v>
      </c>
      <c r="G20" s="0" t="n">
        <v>90.8</v>
      </c>
      <c r="H20" s="0" t="n">
        <v>151</v>
      </c>
      <c r="I20" s="0" t="n">
        <v>147.6</v>
      </c>
      <c r="J20" s="34" t="n">
        <v>172</v>
      </c>
      <c r="K20" s="0" t="n">
        <v>117.3</v>
      </c>
      <c r="L20" s="0" t="n">
        <v>155.2</v>
      </c>
      <c r="M20" s="0" t="n">
        <v>108.3</v>
      </c>
      <c r="N20" s="0" t="n">
        <v>120</v>
      </c>
      <c r="O20" s="0" t="n">
        <v>98.5</v>
      </c>
      <c r="P20" s="0" t="n">
        <v>154.6</v>
      </c>
      <c r="Q20" s="34" t="n">
        <v>224</v>
      </c>
      <c r="R20" s="0" t="n">
        <v>256.3</v>
      </c>
      <c r="S20" s="0" t="n">
        <v>307.2</v>
      </c>
      <c r="T20" s="0" t="n">
        <v>65</v>
      </c>
    </row>
    <row r="21" customFormat="false" ht="15" hidden="false" customHeight="false" outlineLevel="0" collapsed="false">
      <c r="A21" s="0" t="s">
        <v>321</v>
      </c>
      <c r="B21" s="0" t="s">
        <v>265</v>
      </c>
      <c r="C21" s="0" t="n">
        <v>145.9</v>
      </c>
      <c r="D21" s="0" t="n">
        <v>74.5</v>
      </c>
      <c r="E21" s="34" t="n">
        <v>188</v>
      </c>
      <c r="F21" s="0" t="n">
        <v>38.2</v>
      </c>
      <c r="G21" s="0" t="n">
        <v>99.2</v>
      </c>
      <c r="H21" s="0" t="n">
        <v>159.4</v>
      </c>
      <c r="I21" s="0" t="n">
        <v>156</v>
      </c>
      <c r="J21" s="34" t="n">
        <v>180</v>
      </c>
      <c r="K21" s="0" t="n">
        <v>125.7</v>
      </c>
      <c r="L21" s="34" t="n">
        <v>165</v>
      </c>
      <c r="M21" s="0" t="n">
        <v>116.7</v>
      </c>
      <c r="N21" s="0" t="n">
        <v>128.4</v>
      </c>
      <c r="O21" s="0" t="n">
        <v>94</v>
      </c>
      <c r="P21" s="0" t="n">
        <v>136.5</v>
      </c>
      <c r="Q21" s="34" t="n">
        <v>216</v>
      </c>
      <c r="R21" s="0" t="n">
        <v>277.8</v>
      </c>
      <c r="S21" s="0" t="n">
        <v>315.6</v>
      </c>
      <c r="T21" s="0" t="n">
        <v>73.4</v>
      </c>
    </row>
    <row r="22" customFormat="false" ht="15" hidden="false" customHeight="false" outlineLevel="0" collapsed="false">
      <c r="A22" s="0" t="s">
        <v>322</v>
      </c>
      <c r="B22" s="0" t="s">
        <v>267</v>
      </c>
      <c r="C22" s="0" t="n">
        <v>79.1</v>
      </c>
      <c r="D22" s="0" t="n">
        <v>60.3</v>
      </c>
      <c r="E22" s="0" t="n">
        <v>95.2</v>
      </c>
      <c r="F22" s="0" t="n">
        <v>148.7</v>
      </c>
      <c r="G22" s="0" t="n">
        <v>35.2</v>
      </c>
      <c r="H22" s="0" t="n">
        <v>92.6</v>
      </c>
      <c r="I22" s="0" t="n">
        <v>51.3</v>
      </c>
      <c r="J22" s="0" t="n">
        <v>110.7</v>
      </c>
      <c r="K22" s="0" t="n">
        <v>58.8</v>
      </c>
      <c r="L22" s="0" t="n">
        <v>96.8</v>
      </c>
      <c r="M22" s="0" t="n">
        <v>49.8</v>
      </c>
      <c r="N22" s="0" t="n">
        <v>61.5</v>
      </c>
      <c r="O22" s="34" t="n">
        <v>207</v>
      </c>
      <c r="P22" s="0" t="n">
        <v>260.6</v>
      </c>
      <c r="Q22" s="0" t="n">
        <v>325.5</v>
      </c>
      <c r="R22" s="0" t="n">
        <v>362.3</v>
      </c>
      <c r="S22" s="0" t="n">
        <v>392</v>
      </c>
      <c r="T22" s="0" t="n">
        <v>132.1</v>
      </c>
    </row>
    <row r="23" customFormat="false" ht="15" hidden="false" customHeight="false" outlineLevel="0" collapsed="false">
      <c r="A23" s="0" t="s">
        <v>323</v>
      </c>
      <c r="B23" s="0" t="s">
        <v>269</v>
      </c>
      <c r="C23" s="0" t="n">
        <v>113</v>
      </c>
      <c r="D23" s="0" t="n">
        <v>41.6</v>
      </c>
      <c r="E23" s="0" t="n">
        <v>153.8</v>
      </c>
      <c r="F23" s="0" t="n">
        <v>49.1</v>
      </c>
      <c r="G23" s="0" t="n">
        <v>66.3</v>
      </c>
      <c r="H23" s="0" t="n">
        <v>126.5</v>
      </c>
      <c r="I23" s="0" t="n">
        <v>123.1</v>
      </c>
      <c r="J23" s="0" t="n">
        <v>144.6</v>
      </c>
      <c r="K23" s="0" t="n">
        <v>92.8</v>
      </c>
      <c r="L23" s="0" t="n">
        <v>130.7</v>
      </c>
      <c r="M23" s="0" t="n">
        <v>83.7</v>
      </c>
      <c r="N23" s="0" t="n">
        <v>95.5</v>
      </c>
      <c r="O23" s="0" t="n">
        <v>104.9</v>
      </c>
      <c r="P23" s="34" t="n">
        <v>161</v>
      </c>
      <c r="Q23" s="34" t="n">
        <v>238</v>
      </c>
      <c r="R23" s="0" t="n">
        <v>262.7</v>
      </c>
      <c r="S23" s="0" t="n">
        <v>307</v>
      </c>
      <c r="T23" s="0" t="n">
        <v>47.1</v>
      </c>
    </row>
    <row r="24" customFormat="false" ht="15" hidden="false" customHeight="false" outlineLevel="0" collapsed="false">
      <c r="A24" s="0" t="s">
        <v>324</v>
      </c>
      <c r="B24" s="0" t="s">
        <v>271</v>
      </c>
      <c r="C24" s="0" t="n">
        <v>125.9</v>
      </c>
      <c r="D24" s="0" t="n">
        <v>54.5</v>
      </c>
      <c r="E24" s="34" t="n">
        <v>167</v>
      </c>
      <c r="F24" s="0" t="n">
        <v>84.5</v>
      </c>
      <c r="G24" s="0" t="n">
        <v>79.2</v>
      </c>
      <c r="H24" s="0" t="n">
        <v>139.4</v>
      </c>
      <c r="I24" s="0" t="n">
        <v>136</v>
      </c>
      <c r="J24" s="0" t="n">
        <v>157.5</v>
      </c>
      <c r="K24" s="0" t="n">
        <v>105.7</v>
      </c>
      <c r="L24" s="0" t="n">
        <v>143.6</v>
      </c>
      <c r="M24" s="0" t="n">
        <v>96.6</v>
      </c>
      <c r="N24" s="0" t="n">
        <v>108.3</v>
      </c>
      <c r="O24" s="0" t="n">
        <v>140.2</v>
      </c>
      <c r="P24" s="34" t="n">
        <v>208</v>
      </c>
      <c r="Q24" s="0" t="n">
        <v>261.3</v>
      </c>
      <c r="R24" s="0" t="n">
        <v>337.4</v>
      </c>
      <c r="S24" s="0" t="n">
        <v>291.6</v>
      </c>
      <c r="T24" s="0" t="n">
        <v>37.6</v>
      </c>
    </row>
    <row r="25" customFormat="false" ht="15" hidden="false" customHeight="false" outlineLevel="0" collapsed="false">
      <c r="A25" s="0" t="s">
        <v>325</v>
      </c>
      <c r="B25" s="0" t="s">
        <v>273</v>
      </c>
      <c r="C25" s="34" t="n">
        <v>233</v>
      </c>
      <c r="D25" s="0" t="n">
        <v>155.3</v>
      </c>
      <c r="E25" s="0" t="n">
        <v>267.5</v>
      </c>
      <c r="F25" s="0" t="n">
        <v>66.4</v>
      </c>
      <c r="G25" s="34" t="n">
        <v>181</v>
      </c>
      <c r="H25" s="0" t="n">
        <v>240.2</v>
      </c>
      <c r="I25" s="0" t="n">
        <v>236.8</v>
      </c>
      <c r="J25" s="0" t="n">
        <v>258.3</v>
      </c>
      <c r="K25" s="34" t="n">
        <v>208</v>
      </c>
      <c r="L25" s="0" t="n">
        <v>244.4</v>
      </c>
      <c r="M25" s="34" t="n">
        <v>204</v>
      </c>
      <c r="N25" s="34" t="n">
        <v>210</v>
      </c>
      <c r="O25" s="0" t="n">
        <v>123.8</v>
      </c>
      <c r="P25" s="34" t="n">
        <v>169</v>
      </c>
      <c r="Q25" s="34" t="n">
        <v>246</v>
      </c>
      <c r="R25" s="0" t="n">
        <v>309</v>
      </c>
      <c r="S25" s="0" t="n">
        <v>359.1</v>
      </c>
      <c r="T25" s="0" t="n">
        <v>124.1</v>
      </c>
    </row>
    <row r="26" customFormat="false" ht="15" hidden="false" customHeight="false" outlineLevel="0" collapsed="false">
      <c r="A26" s="0" t="s">
        <v>326</v>
      </c>
      <c r="B26" s="0" t="s">
        <v>275</v>
      </c>
      <c r="C26" s="34" t="n">
        <v>178</v>
      </c>
      <c r="D26" s="0" t="n">
        <v>100.3</v>
      </c>
      <c r="E26" s="34" t="n">
        <v>213</v>
      </c>
      <c r="F26" s="0" t="n">
        <v>11.5</v>
      </c>
      <c r="G26" s="0" t="n">
        <v>125</v>
      </c>
      <c r="H26" s="34" t="n">
        <v>186</v>
      </c>
      <c r="I26" s="34" t="n">
        <v>183</v>
      </c>
      <c r="J26" s="34" t="n">
        <v>205</v>
      </c>
      <c r="K26" s="0" t="n">
        <v>151.5</v>
      </c>
      <c r="L26" s="34" t="n">
        <v>190</v>
      </c>
      <c r="M26" s="0" t="n">
        <v>142.5</v>
      </c>
      <c r="N26" s="0" t="n">
        <v>154.2</v>
      </c>
      <c r="O26" s="0" t="n">
        <v>68.8</v>
      </c>
      <c r="P26" s="0" t="n">
        <v>112.8</v>
      </c>
      <c r="Q26" s="34" t="n">
        <v>190</v>
      </c>
      <c r="R26" s="0" t="n">
        <v>254.1</v>
      </c>
      <c r="S26" s="0" t="n">
        <v>304.1</v>
      </c>
      <c r="T26" s="0" t="n">
        <v>69.2</v>
      </c>
    </row>
    <row r="27" customFormat="false" ht="15" hidden="false" customHeight="false" outlineLevel="0" collapsed="false">
      <c r="A27" s="0" t="s">
        <v>327</v>
      </c>
      <c r="B27" s="0" t="s">
        <v>277</v>
      </c>
      <c r="C27" s="0" t="n">
        <v>48.8</v>
      </c>
      <c r="D27" s="0" t="n">
        <v>88.3</v>
      </c>
      <c r="E27" s="0" t="n">
        <v>68.3</v>
      </c>
      <c r="F27" s="34" t="n">
        <v>187</v>
      </c>
      <c r="G27" s="0" t="n">
        <v>63.2</v>
      </c>
      <c r="H27" s="0" t="n">
        <v>57.7</v>
      </c>
      <c r="I27" s="0" t="n">
        <v>23.3</v>
      </c>
      <c r="J27" s="0" t="n">
        <v>75.8</v>
      </c>
      <c r="K27" s="0" t="n">
        <v>47.1</v>
      </c>
      <c r="L27" s="0" t="n">
        <v>68.8</v>
      </c>
      <c r="M27" s="0" t="n">
        <v>55.4</v>
      </c>
      <c r="N27" s="0" t="n">
        <v>56.3</v>
      </c>
      <c r="O27" s="0" t="n">
        <v>232.4</v>
      </c>
      <c r="P27" s="0" t="n">
        <v>288.5</v>
      </c>
      <c r="Q27" s="0" t="n">
        <v>353.5</v>
      </c>
      <c r="R27" s="0" t="n">
        <v>390.2</v>
      </c>
      <c r="S27" s="0" t="n">
        <v>419.9</v>
      </c>
      <c r="T27" s="34" t="n">
        <v>170</v>
      </c>
    </row>
    <row r="28" customFormat="false" ht="15" hidden="false" customHeight="false" outlineLevel="0" collapsed="false">
      <c r="A28" s="0" t="s">
        <v>328</v>
      </c>
      <c r="B28" s="0" t="s">
        <v>279</v>
      </c>
      <c r="C28" s="34" t="n">
        <v>191</v>
      </c>
      <c r="D28" s="0" t="n">
        <v>112.9</v>
      </c>
      <c r="E28" s="34" t="n">
        <v>226</v>
      </c>
      <c r="F28" s="0" t="n">
        <v>26.1</v>
      </c>
      <c r="G28" s="0" t="n">
        <v>137.7</v>
      </c>
      <c r="H28" s="34" t="n">
        <v>198</v>
      </c>
      <c r="I28" s="34" t="n">
        <v>195</v>
      </c>
      <c r="J28" s="34" t="n">
        <v>217</v>
      </c>
      <c r="K28" s="34" t="n">
        <v>166</v>
      </c>
      <c r="L28" s="34" t="n">
        <v>202</v>
      </c>
      <c r="M28" s="0" t="n">
        <v>155.1</v>
      </c>
      <c r="N28" s="34" t="n">
        <v>167</v>
      </c>
      <c r="O28" s="0" t="n">
        <v>74.3</v>
      </c>
      <c r="P28" s="0" t="n">
        <v>90.9</v>
      </c>
      <c r="Q28" s="0" t="n">
        <v>155.9</v>
      </c>
      <c r="R28" s="34" t="n">
        <v>220</v>
      </c>
      <c r="S28" s="0" t="n">
        <v>298.8</v>
      </c>
      <c r="T28" s="0" t="n">
        <v>82.5</v>
      </c>
    </row>
    <row r="29" customFormat="false" ht="15" hidden="false" customHeight="false" outlineLevel="0" collapsed="false">
      <c r="A29" s="0" t="s">
        <v>329</v>
      </c>
      <c r="B29" s="0" t="s">
        <v>281</v>
      </c>
      <c r="C29" s="0" t="n">
        <v>89</v>
      </c>
      <c r="D29" s="0" t="n">
        <v>17.6</v>
      </c>
      <c r="E29" s="0" t="n">
        <v>129.8</v>
      </c>
      <c r="F29" s="0" t="n">
        <v>73.1</v>
      </c>
      <c r="G29" s="0" t="n">
        <v>42.3</v>
      </c>
      <c r="H29" s="0" t="n">
        <v>102.5</v>
      </c>
      <c r="I29" s="0" t="n">
        <v>99.1</v>
      </c>
      <c r="J29" s="0" t="n">
        <v>120.7</v>
      </c>
      <c r="K29" s="0" t="n">
        <v>68.8</v>
      </c>
      <c r="L29" s="0" t="n">
        <v>106.7</v>
      </c>
      <c r="M29" s="0" t="n">
        <v>59.8</v>
      </c>
      <c r="N29" s="0" t="n">
        <v>71.5</v>
      </c>
      <c r="O29" s="0" t="n">
        <v>128.9</v>
      </c>
      <c r="P29" s="34" t="n">
        <v>186</v>
      </c>
      <c r="Q29" s="34" t="n">
        <v>263</v>
      </c>
      <c r="R29" s="0" t="n">
        <v>286.7</v>
      </c>
      <c r="S29" s="0" t="n">
        <v>316.4</v>
      </c>
      <c r="T29" s="0" t="n">
        <v>56.5</v>
      </c>
    </row>
    <row r="30" customFormat="false" ht="15" hidden="false" customHeight="false" outlineLevel="0" collapsed="false">
      <c r="A30" s="0" t="s">
        <v>330</v>
      </c>
      <c r="B30" s="0" t="s">
        <v>283</v>
      </c>
      <c r="C30" s="0" t="n">
        <v>86</v>
      </c>
      <c r="D30" s="0" t="n">
        <v>14.3</v>
      </c>
      <c r="E30" s="0" t="n">
        <v>126.8</v>
      </c>
      <c r="F30" s="0" t="n">
        <v>103.3</v>
      </c>
      <c r="G30" s="0" t="n">
        <v>39.3</v>
      </c>
      <c r="H30" s="0" t="n">
        <v>99.5</v>
      </c>
      <c r="I30" s="0" t="n">
        <v>85.7</v>
      </c>
      <c r="J30" s="0" t="n">
        <v>117.7</v>
      </c>
      <c r="K30" s="0" t="n">
        <v>65.8</v>
      </c>
      <c r="L30" s="0" t="n">
        <v>103.7</v>
      </c>
      <c r="M30" s="0" t="n">
        <v>56.8</v>
      </c>
      <c r="N30" s="0" t="n">
        <v>68.5</v>
      </c>
      <c r="O30" s="0" t="n">
        <v>159.1</v>
      </c>
      <c r="P30" s="34" t="n">
        <v>202</v>
      </c>
      <c r="Q30" s="0" t="n">
        <v>280.1</v>
      </c>
      <c r="R30" s="0" t="n">
        <v>316.9</v>
      </c>
      <c r="S30" s="0" t="n">
        <v>346.6</v>
      </c>
      <c r="T30" s="0" t="n">
        <v>86.7</v>
      </c>
    </row>
    <row r="31" customFormat="false" ht="15" hidden="false" customHeight="false" outlineLevel="0" collapsed="false">
      <c r="A31" s="0" t="s">
        <v>331</v>
      </c>
      <c r="B31" s="0" t="s">
        <v>285</v>
      </c>
      <c r="C31" s="0" t="n">
        <v>144.8</v>
      </c>
      <c r="D31" s="0" t="n">
        <v>73.4</v>
      </c>
      <c r="E31" s="34" t="n">
        <v>186</v>
      </c>
      <c r="F31" s="0" t="n">
        <v>94.3</v>
      </c>
      <c r="G31" s="0" t="n">
        <v>98.1</v>
      </c>
      <c r="H31" s="0" t="n">
        <v>158.3</v>
      </c>
      <c r="I31" s="0" t="n">
        <v>155</v>
      </c>
      <c r="J31" s="34" t="n">
        <v>178</v>
      </c>
      <c r="K31" s="0" t="n">
        <v>124.6</v>
      </c>
      <c r="L31" s="34" t="n">
        <v>162</v>
      </c>
      <c r="M31" s="0" t="n">
        <v>115.6</v>
      </c>
      <c r="N31" s="0" t="n">
        <v>127.3</v>
      </c>
      <c r="O31" s="0" t="n">
        <v>111</v>
      </c>
      <c r="P31" s="34" t="n">
        <v>178</v>
      </c>
      <c r="Q31" s="0" t="n">
        <v>252.5</v>
      </c>
      <c r="R31" s="0" t="n">
        <v>318.7</v>
      </c>
      <c r="S31" s="0" t="n">
        <v>272.9</v>
      </c>
      <c r="T31" s="0" t="n">
        <v>26.9</v>
      </c>
    </row>
    <row r="32" customFormat="false" ht="15" hidden="false" customHeight="false" outlineLevel="0" collapsed="false">
      <c r="A32" s="0" t="s">
        <v>332</v>
      </c>
      <c r="B32" s="0" t="s">
        <v>287</v>
      </c>
      <c r="C32" s="34" t="n">
        <v>178</v>
      </c>
      <c r="D32" s="0" t="n">
        <v>104.5</v>
      </c>
      <c r="E32" s="34" t="n">
        <v>214</v>
      </c>
      <c r="F32" s="0" t="n">
        <v>57</v>
      </c>
      <c r="G32" s="0" t="n">
        <v>129.2</v>
      </c>
      <c r="H32" s="34" t="n">
        <v>186</v>
      </c>
      <c r="I32" s="34" t="n">
        <v>183</v>
      </c>
      <c r="J32" s="34" t="n">
        <v>205</v>
      </c>
      <c r="K32" s="0" t="n">
        <v>155.7</v>
      </c>
      <c r="L32" s="34" t="n">
        <v>190</v>
      </c>
      <c r="M32" s="0" t="n">
        <v>146.7</v>
      </c>
      <c r="N32" s="0" t="n">
        <v>158.4</v>
      </c>
      <c r="O32" s="0" t="n">
        <v>63.1</v>
      </c>
      <c r="P32" s="0" t="n">
        <v>137.7</v>
      </c>
      <c r="Q32" s="34" t="n">
        <v>209</v>
      </c>
      <c r="R32" s="0" t="n">
        <v>294.1</v>
      </c>
      <c r="S32" s="34" t="n">
        <v>249</v>
      </c>
      <c r="T32" s="0" t="n">
        <v>31.2</v>
      </c>
    </row>
    <row r="33" customFormat="false" ht="15" hidden="false" customHeight="false" outlineLevel="0" collapsed="false">
      <c r="A33" s="0" t="s">
        <v>333</v>
      </c>
      <c r="B33" s="0" t="s">
        <v>289</v>
      </c>
      <c r="C33" s="34" t="n">
        <v>173</v>
      </c>
      <c r="D33" s="0" t="n">
        <v>97.2</v>
      </c>
      <c r="E33" s="34" t="n">
        <v>208</v>
      </c>
      <c r="F33" s="0" t="n">
        <v>59.5</v>
      </c>
      <c r="G33" s="0" t="n">
        <v>121.9</v>
      </c>
      <c r="H33" s="34" t="n">
        <v>181</v>
      </c>
      <c r="I33" s="34" t="n">
        <v>178</v>
      </c>
      <c r="J33" s="34" t="n">
        <v>200</v>
      </c>
      <c r="K33" s="0" t="n">
        <v>148.4</v>
      </c>
      <c r="L33" s="34" t="n">
        <v>184</v>
      </c>
      <c r="M33" s="0" t="n">
        <v>139.3</v>
      </c>
      <c r="N33" s="0" t="n">
        <v>151</v>
      </c>
      <c r="O33" s="0" t="n">
        <v>74.7</v>
      </c>
      <c r="P33" s="0" t="n">
        <v>149.4</v>
      </c>
      <c r="Q33" s="34" t="n">
        <v>220</v>
      </c>
      <c r="R33" s="0" t="n">
        <v>283.5</v>
      </c>
      <c r="S33" s="34" t="n">
        <v>238</v>
      </c>
      <c r="T33" s="0" t="n">
        <v>23.9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0"/>
    <col collapsed="false" customWidth="true" hidden="false" outlineLevel="0" max="20" min="3" style="0" width="11"/>
  </cols>
  <sheetData>
    <row r="1" customFormat="false" ht="15" hidden="false" customHeight="false" outlineLevel="0" collapsed="false">
      <c r="A1" s="1" t="s">
        <v>356</v>
      </c>
    </row>
    <row r="4" customFormat="false" ht="41.75" hidden="false" customHeight="false" outlineLevel="0" collapsed="false">
      <c r="A4" s="2" t="s">
        <v>337</v>
      </c>
      <c r="B4" s="2" t="s">
        <v>295</v>
      </c>
      <c r="C4" s="2" t="s">
        <v>338</v>
      </c>
      <c r="D4" s="2" t="s">
        <v>339</v>
      </c>
      <c r="E4" s="2" t="s">
        <v>340</v>
      </c>
      <c r="F4" s="2" t="s">
        <v>341</v>
      </c>
      <c r="G4" s="2" t="s">
        <v>342</v>
      </c>
      <c r="H4" s="2" t="s">
        <v>343</v>
      </c>
      <c r="I4" s="2" t="s">
        <v>344</v>
      </c>
      <c r="J4" s="2" t="s">
        <v>345</v>
      </c>
      <c r="K4" s="2" t="s">
        <v>346</v>
      </c>
      <c r="L4" s="2" t="s">
        <v>347</v>
      </c>
      <c r="M4" s="2" t="s">
        <v>348</v>
      </c>
      <c r="N4" s="2" t="s">
        <v>349</v>
      </c>
      <c r="O4" s="2" t="s">
        <v>350</v>
      </c>
      <c r="P4" s="2" t="s">
        <v>351</v>
      </c>
      <c r="Q4" s="2" t="s">
        <v>352</v>
      </c>
      <c r="R4" s="2" t="s">
        <v>353</v>
      </c>
      <c r="S4" s="2" t="s">
        <v>354</v>
      </c>
      <c r="T4" s="2" t="s">
        <v>355</v>
      </c>
    </row>
    <row r="5" customFormat="false" ht="15" hidden="false" customHeight="false" outlineLevel="0" collapsed="false">
      <c r="A5" s="0" t="s">
        <v>302</v>
      </c>
      <c r="B5" s="0" t="s">
        <v>229</v>
      </c>
      <c r="C5" s="0" t="n">
        <v>188.6</v>
      </c>
      <c r="D5" s="0" t="n">
        <v>117.2</v>
      </c>
      <c r="E5" s="0" t="n">
        <v>229.4</v>
      </c>
      <c r="F5" s="0" t="n">
        <v>30.3</v>
      </c>
      <c r="G5" s="0" t="n">
        <v>141.9</v>
      </c>
      <c r="H5" s="0" t="n">
        <v>202.1</v>
      </c>
      <c r="I5" s="0" t="n">
        <v>198.7</v>
      </c>
      <c r="J5" s="0" t="n">
        <v>220.3</v>
      </c>
      <c r="K5" s="0" t="n">
        <v>168.4</v>
      </c>
      <c r="L5" s="0" t="n">
        <v>206.3</v>
      </c>
      <c r="M5" s="0" t="n">
        <v>159.4</v>
      </c>
      <c r="N5" s="0" t="n">
        <v>171.1</v>
      </c>
      <c r="O5" s="0" t="n">
        <v>32.6</v>
      </c>
      <c r="P5" s="0" t="n">
        <v>107.2</v>
      </c>
      <c r="Q5" s="0" t="n">
        <v>174</v>
      </c>
      <c r="R5" s="0" t="n">
        <v>190.3</v>
      </c>
      <c r="S5" s="0" t="n">
        <v>269.9</v>
      </c>
      <c r="T5" s="0" t="n">
        <v>67.1</v>
      </c>
    </row>
    <row r="6" customFormat="false" ht="15" hidden="false" customHeight="false" outlineLevel="0" collapsed="false">
      <c r="A6" s="0" t="s">
        <v>306</v>
      </c>
      <c r="B6" s="0" t="s">
        <v>233</v>
      </c>
      <c r="C6" s="0" t="n">
        <v>33.1</v>
      </c>
      <c r="D6" s="0" t="n">
        <v>100.9</v>
      </c>
      <c r="E6" s="0" t="n">
        <v>19.5</v>
      </c>
      <c r="F6" s="0" t="n">
        <v>189.3</v>
      </c>
      <c r="G6" s="0" t="n">
        <v>74.5</v>
      </c>
      <c r="H6" s="0" t="n">
        <v>27.7</v>
      </c>
      <c r="I6" s="0" t="n">
        <v>17.7</v>
      </c>
      <c r="J6" s="0" t="n">
        <v>41.8</v>
      </c>
      <c r="K6" s="0" t="n">
        <v>50.3</v>
      </c>
      <c r="L6" s="0" t="n">
        <v>41.4</v>
      </c>
      <c r="M6" s="0" t="n">
        <v>59</v>
      </c>
      <c r="N6" s="0" t="n">
        <v>55.9</v>
      </c>
      <c r="O6" s="0" t="n">
        <v>245.1</v>
      </c>
      <c r="P6" s="0" t="n">
        <v>301.2</v>
      </c>
      <c r="Q6" s="0" t="n">
        <v>366.1</v>
      </c>
      <c r="R6" s="0" t="n">
        <v>402.9</v>
      </c>
      <c r="S6" s="0" t="n">
        <v>432.6</v>
      </c>
      <c r="T6" s="0" t="n">
        <v>172.7</v>
      </c>
    </row>
    <row r="7" customFormat="false" ht="15" hidden="false" customHeight="false" outlineLevel="0" collapsed="false">
      <c r="A7" s="0" t="s">
        <v>307</v>
      </c>
      <c r="B7" s="0" t="s">
        <v>235</v>
      </c>
      <c r="C7" s="0" t="n">
        <v>153.8</v>
      </c>
      <c r="D7" s="0" t="n">
        <v>135.1</v>
      </c>
      <c r="E7" s="0" t="n">
        <v>137.6</v>
      </c>
      <c r="F7" s="0" t="n">
        <v>223.5</v>
      </c>
      <c r="G7" s="0" t="n">
        <v>110</v>
      </c>
      <c r="H7" s="0" t="n">
        <v>140.8</v>
      </c>
      <c r="I7" s="0" t="n">
        <v>128.4</v>
      </c>
      <c r="J7" s="0" t="n">
        <v>154.9</v>
      </c>
      <c r="K7" s="0" t="n">
        <v>133.6</v>
      </c>
      <c r="L7" s="0" t="n">
        <v>171.6</v>
      </c>
      <c r="M7" s="0" t="n">
        <v>124.6</v>
      </c>
      <c r="N7" s="0" t="n">
        <v>136.3</v>
      </c>
      <c r="O7" s="0" t="n">
        <v>279.3</v>
      </c>
      <c r="P7" s="0" t="n">
        <v>335.3</v>
      </c>
      <c r="Q7" s="0" t="n">
        <v>400.3</v>
      </c>
      <c r="R7" s="0" t="n">
        <v>437</v>
      </c>
      <c r="S7" s="0" t="n">
        <v>466.8</v>
      </c>
      <c r="T7" s="0" t="n">
        <v>206.9</v>
      </c>
    </row>
    <row r="8" customFormat="false" ht="15" hidden="false" customHeight="false" outlineLevel="0" collapsed="false">
      <c r="A8" s="0" t="s">
        <v>308</v>
      </c>
      <c r="B8" s="0" t="s">
        <v>237</v>
      </c>
      <c r="C8" s="0" t="n">
        <v>164.9</v>
      </c>
      <c r="D8" s="0" t="n">
        <v>93.4</v>
      </c>
      <c r="E8" s="0" t="n">
        <v>205.7</v>
      </c>
      <c r="F8" s="0" t="n">
        <v>53.2</v>
      </c>
      <c r="G8" s="0" t="n">
        <v>118.2</v>
      </c>
      <c r="H8" s="0" t="n">
        <v>178.4</v>
      </c>
      <c r="I8" s="0" t="n">
        <v>175</v>
      </c>
      <c r="J8" s="0" t="n">
        <v>196.5</v>
      </c>
      <c r="K8" s="0" t="n">
        <v>144.6</v>
      </c>
      <c r="L8" s="0" t="n">
        <v>182.6</v>
      </c>
      <c r="M8" s="0" t="n">
        <v>135.6</v>
      </c>
      <c r="N8" s="0" t="n">
        <v>147.3</v>
      </c>
      <c r="O8" s="0" t="n">
        <v>76.7</v>
      </c>
      <c r="P8" s="0" t="n">
        <v>151.4</v>
      </c>
      <c r="Q8" s="0" t="n">
        <v>218.1</v>
      </c>
      <c r="R8" s="0" t="n">
        <v>289.1</v>
      </c>
      <c r="S8" s="0" t="n">
        <v>243.3</v>
      </c>
      <c r="T8" s="0" t="n">
        <v>20.1</v>
      </c>
    </row>
    <row r="9" customFormat="false" ht="15" hidden="false" customHeight="false" outlineLevel="0" collapsed="false">
      <c r="A9" s="0" t="s">
        <v>309</v>
      </c>
      <c r="B9" s="0" t="s">
        <v>239</v>
      </c>
      <c r="C9" s="0" t="n">
        <v>192.3</v>
      </c>
      <c r="D9" s="0" t="n">
        <v>120.8</v>
      </c>
      <c r="E9" s="0" t="n">
        <v>233.1</v>
      </c>
      <c r="F9" s="0" t="n">
        <v>34</v>
      </c>
      <c r="G9" s="0" t="n">
        <v>145.6</v>
      </c>
      <c r="H9" s="0" t="n">
        <v>205.8</v>
      </c>
      <c r="I9" s="0" t="n">
        <v>202.4</v>
      </c>
      <c r="J9" s="0" t="n">
        <v>223.9</v>
      </c>
      <c r="K9" s="0" t="n">
        <v>172</v>
      </c>
      <c r="L9" s="0" t="n">
        <v>210</v>
      </c>
      <c r="M9" s="0" t="n">
        <v>163</v>
      </c>
      <c r="N9" s="0" t="n">
        <v>174.7</v>
      </c>
      <c r="O9" s="0" t="n">
        <v>26.1</v>
      </c>
      <c r="P9" s="0" t="n">
        <v>100.7</v>
      </c>
      <c r="Q9" s="0" t="n">
        <v>167.5</v>
      </c>
      <c r="R9" s="0" t="n">
        <v>183.9</v>
      </c>
      <c r="S9" s="0" t="n">
        <v>263.4</v>
      </c>
      <c r="T9" s="0" t="n">
        <v>68.8</v>
      </c>
    </row>
    <row r="10" customFormat="false" ht="15" hidden="false" customHeight="false" outlineLevel="0" collapsed="false">
      <c r="A10" s="0" t="s">
        <v>310</v>
      </c>
      <c r="B10" s="0" t="s">
        <v>241</v>
      </c>
      <c r="C10" s="0" t="n">
        <v>242</v>
      </c>
      <c r="D10" s="0" t="n">
        <v>170.6</v>
      </c>
      <c r="E10" s="0" t="n">
        <v>282.8</v>
      </c>
      <c r="F10" s="0" t="n">
        <v>83.7</v>
      </c>
      <c r="G10" s="0" t="n">
        <v>195.3</v>
      </c>
      <c r="H10" s="0" t="n">
        <v>255.5</v>
      </c>
      <c r="I10" s="0" t="n">
        <v>252.1</v>
      </c>
      <c r="J10" s="0" t="n">
        <v>273.6</v>
      </c>
      <c r="K10" s="0" t="n">
        <v>221.8</v>
      </c>
      <c r="L10" s="0" t="n">
        <v>259.7</v>
      </c>
      <c r="M10" s="0" t="n">
        <v>212.7</v>
      </c>
      <c r="N10" s="0" t="n">
        <v>224.5</v>
      </c>
      <c r="O10" s="0" t="n">
        <v>27.5</v>
      </c>
      <c r="P10" s="0" t="n">
        <v>82</v>
      </c>
      <c r="Q10" s="0" t="n">
        <v>122.6</v>
      </c>
      <c r="R10" s="0" t="n">
        <v>134.2</v>
      </c>
      <c r="S10" s="0" t="n">
        <v>213.8</v>
      </c>
      <c r="T10" s="0" t="n">
        <v>118.9</v>
      </c>
    </row>
    <row r="11" customFormat="false" ht="15" hidden="false" customHeight="false" outlineLevel="0" collapsed="false">
      <c r="A11" s="0" t="s">
        <v>311</v>
      </c>
      <c r="B11" s="0" t="s">
        <v>243</v>
      </c>
      <c r="C11" s="0" t="n">
        <v>202.7</v>
      </c>
      <c r="D11" s="0" t="n">
        <v>131.2</v>
      </c>
      <c r="E11" s="0" t="n">
        <v>243.5</v>
      </c>
      <c r="F11" s="0" t="n">
        <v>44.4</v>
      </c>
      <c r="G11" s="0" t="n">
        <v>156</v>
      </c>
      <c r="H11" s="0" t="n">
        <v>216.2</v>
      </c>
      <c r="I11" s="0" t="n">
        <v>212.8</v>
      </c>
      <c r="J11" s="0" t="n">
        <v>234.3</v>
      </c>
      <c r="K11" s="0" t="n">
        <v>182.4</v>
      </c>
      <c r="L11" s="0" t="n">
        <v>220.4</v>
      </c>
      <c r="M11" s="0" t="n">
        <v>173.4</v>
      </c>
      <c r="N11" s="0" t="n">
        <v>185.1</v>
      </c>
      <c r="O11" s="0" t="n">
        <v>14.7</v>
      </c>
      <c r="P11" s="0" t="n">
        <v>89.4</v>
      </c>
      <c r="Q11" s="0" t="n">
        <v>156.1</v>
      </c>
      <c r="R11" s="0" t="n">
        <v>172.5</v>
      </c>
      <c r="S11" s="0" t="n">
        <v>252.1</v>
      </c>
      <c r="T11" s="0" t="n">
        <v>79.6</v>
      </c>
    </row>
    <row r="12" customFormat="false" ht="15" hidden="false" customHeight="false" outlineLevel="0" collapsed="false">
      <c r="A12" s="0" t="s">
        <v>312</v>
      </c>
      <c r="B12" s="0" t="s">
        <v>246</v>
      </c>
      <c r="C12" s="0" t="n">
        <v>187.4</v>
      </c>
      <c r="D12" s="0" t="n">
        <v>116</v>
      </c>
      <c r="E12" s="0" t="n">
        <v>228.2</v>
      </c>
      <c r="F12" s="0" t="n">
        <v>32</v>
      </c>
      <c r="G12" s="0" t="n">
        <v>140.7</v>
      </c>
      <c r="H12" s="0" t="n">
        <v>200.9</v>
      </c>
      <c r="I12" s="0" t="n">
        <v>197.5</v>
      </c>
      <c r="J12" s="0" t="n">
        <v>219</v>
      </c>
      <c r="K12" s="0" t="n">
        <v>167.2</v>
      </c>
      <c r="L12" s="0" t="n">
        <v>205.1</v>
      </c>
      <c r="M12" s="0" t="n">
        <v>158.1</v>
      </c>
      <c r="N12" s="0" t="n">
        <v>169.8</v>
      </c>
      <c r="O12" s="0" t="n">
        <v>65.9</v>
      </c>
      <c r="P12" s="0" t="n">
        <v>144</v>
      </c>
      <c r="Q12" s="0" t="n">
        <v>209</v>
      </c>
      <c r="R12" s="0" t="n">
        <v>223.7</v>
      </c>
      <c r="S12" s="0" t="n">
        <v>263.4</v>
      </c>
      <c r="T12" s="0" t="n">
        <v>28.4</v>
      </c>
    </row>
    <row r="13" customFormat="false" ht="15" hidden="false" customHeight="false" outlineLevel="0" collapsed="false">
      <c r="A13" s="0" t="s">
        <v>313</v>
      </c>
      <c r="B13" s="0" t="s">
        <v>248</v>
      </c>
      <c r="C13" s="0" t="n">
        <v>75</v>
      </c>
      <c r="D13" s="0" t="n">
        <v>94.8</v>
      </c>
      <c r="E13" s="0" t="n">
        <v>70.3</v>
      </c>
      <c r="F13" s="0" t="n">
        <v>183.1</v>
      </c>
      <c r="G13" s="0" t="n">
        <v>69.7</v>
      </c>
      <c r="H13" s="0" t="n">
        <v>73.5</v>
      </c>
      <c r="I13" s="0" t="n">
        <v>61.1</v>
      </c>
      <c r="J13" s="0" t="n">
        <v>87.6</v>
      </c>
      <c r="K13" s="0" t="n">
        <v>93.3</v>
      </c>
      <c r="L13" s="0" t="n">
        <v>92.7</v>
      </c>
      <c r="M13" s="0" t="n">
        <v>84.2</v>
      </c>
      <c r="N13" s="0" t="n">
        <v>96</v>
      </c>
      <c r="O13" s="0" t="n">
        <v>238.9</v>
      </c>
      <c r="P13" s="0" t="n">
        <v>295</v>
      </c>
      <c r="Q13" s="0" t="n">
        <v>360</v>
      </c>
      <c r="R13" s="0" t="n">
        <v>396.7</v>
      </c>
      <c r="S13" s="0" t="n">
        <v>426.4</v>
      </c>
      <c r="T13" s="0" t="n">
        <v>166.5</v>
      </c>
    </row>
    <row r="14" customFormat="false" ht="15" hidden="false" customHeight="false" outlineLevel="0" collapsed="false">
      <c r="A14" s="0" t="s">
        <v>314</v>
      </c>
      <c r="B14" s="0" t="s">
        <v>251</v>
      </c>
      <c r="C14" s="0" t="n">
        <v>162.2</v>
      </c>
      <c r="D14" s="0" t="n">
        <v>90.8</v>
      </c>
      <c r="E14" s="0" t="n">
        <v>203</v>
      </c>
      <c r="F14" s="0" t="n">
        <v>41.8</v>
      </c>
      <c r="G14" s="0" t="n">
        <v>115.5</v>
      </c>
      <c r="H14" s="0" t="n">
        <v>175.7</v>
      </c>
      <c r="I14" s="0" t="n">
        <v>172.3</v>
      </c>
      <c r="J14" s="0" t="n">
        <v>193.8</v>
      </c>
      <c r="K14" s="0" t="n">
        <v>142</v>
      </c>
      <c r="L14" s="0" t="n">
        <v>179.9</v>
      </c>
      <c r="M14" s="0" t="n">
        <v>132.9</v>
      </c>
      <c r="N14" s="0" t="n">
        <v>144.7</v>
      </c>
      <c r="O14" s="0" t="n">
        <v>75.7</v>
      </c>
      <c r="P14" s="0" t="n">
        <v>153.9</v>
      </c>
      <c r="Q14" s="0" t="n">
        <v>218.8</v>
      </c>
      <c r="R14" s="0" t="n">
        <v>299.6</v>
      </c>
      <c r="S14" s="0" t="n">
        <v>253.7</v>
      </c>
      <c r="T14" s="0" t="n">
        <v>19.5</v>
      </c>
    </row>
    <row r="15" customFormat="false" ht="15" hidden="false" customHeight="false" outlineLevel="0" collapsed="false">
      <c r="A15" s="0" t="s">
        <v>315</v>
      </c>
      <c r="B15" s="0" t="s">
        <v>253</v>
      </c>
      <c r="C15" s="0" t="n">
        <v>118.7</v>
      </c>
      <c r="D15" s="0" t="n">
        <v>47.3</v>
      </c>
      <c r="E15" s="0" t="n">
        <v>159.5</v>
      </c>
      <c r="F15" s="0" t="n">
        <v>58.7</v>
      </c>
      <c r="G15" s="0" t="n">
        <v>72</v>
      </c>
      <c r="H15" s="0" t="n">
        <v>132.2</v>
      </c>
      <c r="I15" s="0" t="n">
        <v>123</v>
      </c>
      <c r="J15" s="0" t="n">
        <v>150.4</v>
      </c>
      <c r="K15" s="0" t="n">
        <v>98.5</v>
      </c>
      <c r="L15" s="0" t="n">
        <v>136.4</v>
      </c>
      <c r="M15" s="0" t="n">
        <v>89.5</v>
      </c>
      <c r="N15" s="0" t="n">
        <v>101.2</v>
      </c>
      <c r="O15" s="0" t="n">
        <v>114.4</v>
      </c>
      <c r="P15" s="0" t="n">
        <v>170.5</v>
      </c>
      <c r="Q15" s="0" t="n">
        <v>235.5</v>
      </c>
      <c r="R15" s="0" t="n">
        <v>272.2</v>
      </c>
      <c r="S15" s="0" t="n">
        <v>316.2</v>
      </c>
      <c r="T15" s="0" t="n">
        <v>56.3</v>
      </c>
    </row>
    <row r="16" customFormat="false" ht="15" hidden="false" customHeight="false" outlineLevel="0" collapsed="false">
      <c r="A16" s="0" t="s">
        <v>316</v>
      </c>
      <c r="B16" s="0" t="s">
        <v>255</v>
      </c>
      <c r="C16" s="0" t="n">
        <v>56.6</v>
      </c>
      <c r="D16" s="0" t="n">
        <v>37.9</v>
      </c>
      <c r="E16" s="0" t="n">
        <v>77.4</v>
      </c>
      <c r="F16" s="0" t="n">
        <v>126.3</v>
      </c>
      <c r="G16" s="0" t="n">
        <v>12.8</v>
      </c>
      <c r="H16" s="0" t="n">
        <v>70.2</v>
      </c>
      <c r="I16" s="0" t="n">
        <v>44.3</v>
      </c>
      <c r="J16" s="0" t="n">
        <v>88.3</v>
      </c>
      <c r="K16" s="0" t="n">
        <v>36.4</v>
      </c>
      <c r="L16" s="0" t="n">
        <v>74.4</v>
      </c>
      <c r="M16" s="0" t="n">
        <v>27.4</v>
      </c>
      <c r="N16" s="0" t="n">
        <v>39.1</v>
      </c>
      <c r="O16" s="0" t="n">
        <v>182</v>
      </c>
      <c r="P16" s="0" t="n">
        <v>238.1</v>
      </c>
      <c r="Q16" s="0" t="n">
        <v>303.1</v>
      </c>
      <c r="R16" s="0" t="n">
        <v>339.8</v>
      </c>
      <c r="S16" s="0" t="n">
        <v>369.6</v>
      </c>
      <c r="T16" s="0" t="n">
        <v>109.7</v>
      </c>
    </row>
    <row r="17" customFormat="false" ht="15" hidden="false" customHeight="false" outlineLevel="0" collapsed="false">
      <c r="A17" s="0" t="s">
        <v>317</v>
      </c>
      <c r="B17" s="0" t="s">
        <v>257</v>
      </c>
      <c r="C17" s="0" t="n">
        <v>95.6</v>
      </c>
      <c r="D17" s="0" t="n">
        <v>23.9</v>
      </c>
      <c r="E17" s="0" t="n">
        <v>136.4</v>
      </c>
      <c r="F17" s="0" t="n">
        <v>112.9</v>
      </c>
      <c r="G17" s="0" t="n">
        <v>48.9</v>
      </c>
      <c r="H17" s="0" t="n">
        <v>109.1</v>
      </c>
      <c r="I17" s="0" t="n">
        <v>95.2</v>
      </c>
      <c r="J17" s="0" t="n">
        <v>127.2</v>
      </c>
      <c r="K17" s="0" t="n">
        <v>75.4</v>
      </c>
      <c r="L17" s="0" t="n">
        <v>113.3</v>
      </c>
      <c r="M17" s="0" t="n">
        <v>66.3</v>
      </c>
      <c r="N17" s="0" t="n">
        <v>78</v>
      </c>
      <c r="O17" s="0" t="n">
        <v>168.6</v>
      </c>
      <c r="P17" s="0" t="n">
        <v>224.7</v>
      </c>
      <c r="Q17" s="0" t="n">
        <v>289.7</v>
      </c>
      <c r="R17" s="0" t="n">
        <v>326.4</v>
      </c>
      <c r="S17" s="0" t="n">
        <v>356.1</v>
      </c>
      <c r="T17" s="0" t="n">
        <v>96.2</v>
      </c>
    </row>
    <row r="18" customFormat="false" ht="15" hidden="false" customHeight="false" outlineLevel="0" collapsed="false">
      <c r="A18" s="0" t="s">
        <v>318</v>
      </c>
      <c r="B18" s="0" t="s">
        <v>259</v>
      </c>
      <c r="C18" s="0" t="n">
        <v>197.8</v>
      </c>
      <c r="D18" s="0" t="n">
        <v>126.4</v>
      </c>
      <c r="E18" s="0" t="n">
        <v>238.7</v>
      </c>
      <c r="F18" s="0" t="n">
        <v>37.6</v>
      </c>
      <c r="G18" s="0" t="n">
        <v>151.2</v>
      </c>
      <c r="H18" s="0" t="n">
        <v>211.4</v>
      </c>
      <c r="I18" s="0" t="n">
        <v>208</v>
      </c>
      <c r="J18" s="0" t="n">
        <v>229.5</v>
      </c>
      <c r="K18" s="0" t="n">
        <v>177.6</v>
      </c>
      <c r="L18" s="0" t="n">
        <v>215.6</v>
      </c>
      <c r="M18" s="0" t="n">
        <v>168.6</v>
      </c>
      <c r="N18" s="0" t="n">
        <v>180.3</v>
      </c>
      <c r="O18" s="0" t="n">
        <v>95</v>
      </c>
      <c r="P18" s="0" t="n">
        <v>138.9</v>
      </c>
      <c r="Q18" s="0" t="n">
        <v>203.9</v>
      </c>
      <c r="R18" s="0" t="n">
        <v>280.2</v>
      </c>
      <c r="S18" s="0" t="n">
        <v>330.3</v>
      </c>
      <c r="T18" s="0" t="n">
        <v>95.3</v>
      </c>
    </row>
    <row r="19" customFormat="false" ht="15" hidden="false" customHeight="false" outlineLevel="0" collapsed="false">
      <c r="A19" s="0" t="s">
        <v>319</v>
      </c>
      <c r="B19" s="0" t="s">
        <v>261</v>
      </c>
      <c r="C19" s="0" t="n">
        <v>243</v>
      </c>
      <c r="D19" s="0" t="n">
        <v>171.5</v>
      </c>
      <c r="E19" s="0" t="n">
        <v>283.8</v>
      </c>
      <c r="F19" s="0" t="n">
        <v>84.7</v>
      </c>
      <c r="G19" s="0" t="n">
        <v>196.3</v>
      </c>
      <c r="H19" s="0" t="n">
        <v>256.5</v>
      </c>
      <c r="I19" s="0" t="n">
        <v>253.1</v>
      </c>
      <c r="J19" s="0" t="n">
        <v>274.6</v>
      </c>
      <c r="K19" s="0" t="n">
        <v>222.8</v>
      </c>
      <c r="L19" s="0" t="n">
        <v>260.7</v>
      </c>
      <c r="M19" s="0" t="n">
        <v>213.7</v>
      </c>
      <c r="N19" s="0" t="n">
        <v>225.4</v>
      </c>
      <c r="O19" s="0" t="n">
        <v>28.5</v>
      </c>
      <c r="P19" s="0" t="n">
        <v>85.6</v>
      </c>
      <c r="Q19" s="0" t="n">
        <v>127.5</v>
      </c>
      <c r="R19" s="0" t="n">
        <v>133.4</v>
      </c>
      <c r="S19" s="0" t="n">
        <v>212.9</v>
      </c>
      <c r="T19" s="0" t="n">
        <v>119.9</v>
      </c>
    </row>
    <row r="20" customFormat="false" ht="15" hidden="false" customHeight="false" outlineLevel="0" collapsed="false">
      <c r="A20" s="0" t="s">
        <v>320</v>
      </c>
      <c r="B20" s="0" t="s">
        <v>263</v>
      </c>
      <c r="C20" s="0" t="n">
        <v>137.5</v>
      </c>
      <c r="D20" s="0" t="n">
        <v>66.1</v>
      </c>
      <c r="E20" s="0" t="n">
        <v>178.3</v>
      </c>
      <c r="F20" s="0" t="n">
        <v>42.7</v>
      </c>
      <c r="G20" s="0" t="n">
        <v>90.8</v>
      </c>
      <c r="H20" s="0" t="n">
        <v>151</v>
      </c>
      <c r="I20" s="0" t="n">
        <v>147.6</v>
      </c>
      <c r="J20" s="0" t="n">
        <v>169.2</v>
      </c>
      <c r="K20" s="0" t="n">
        <v>117.3</v>
      </c>
      <c r="L20" s="0" t="n">
        <v>155.2</v>
      </c>
      <c r="M20" s="0" t="n">
        <v>108.3</v>
      </c>
      <c r="N20" s="0" t="n">
        <v>120</v>
      </c>
      <c r="O20" s="0" t="n">
        <v>98.5</v>
      </c>
      <c r="P20" s="0" t="n">
        <v>154.6</v>
      </c>
      <c r="Q20" s="0" t="n">
        <v>219.5</v>
      </c>
      <c r="R20" s="0" t="n">
        <v>256.3</v>
      </c>
      <c r="S20" s="0" t="n">
        <v>307.2</v>
      </c>
      <c r="T20" s="0" t="n">
        <v>65</v>
      </c>
    </row>
    <row r="21" customFormat="false" ht="15" hidden="false" customHeight="false" outlineLevel="0" collapsed="false">
      <c r="A21" s="0" t="s">
        <v>321</v>
      </c>
      <c r="B21" s="0" t="s">
        <v>265</v>
      </c>
      <c r="C21" s="0" t="n">
        <v>145.9</v>
      </c>
      <c r="D21" s="0" t="n">
        <v>74.5</v>
      </c>
      <c r="E21" s="0" t="n">
        <v>186.7</v>
      </c>
      <c r="F21" s="0" t="n">
        <v>38.2</v>
      </c>
      <c r="G21" s="0" t="n">
        <v>99.2</v>
      </c>
      <c r="H21" s="0" t="n">
        <v>159.4</v>
      </c>
      <c r="I21" s="0" t="n">
        <v>156</v>
      </c>
      <c r="J21" s="0" t="n">
        <v>177.6</v>
      </c>
      <c r="K21" s="0" t="n">
        <v>125.7</v>
      </c>
      <c r="L21" s="0" t="n">
        <v>163.6</v>
      </c>
      <c r="M21" s="0" t="n">
        <v>116.7</v>
      </c>
      <c r="N21" s="0" t="n">
        <v>128.4</v>
      </c>
      <c r="O21" s="0" t="n">
        <v>94</v>
      </c>
      <c r="P21" s="0" t="n">
        <v>136.5</v>
      </c>
      <c r="Q21" s="0" t="n">
        <v>201.5</v>
      </c>
      <c r="R21" s="0" t="n">
        <v>277.8</v>
      </c>
      <c r="S21" s="0" t="n">
        <v>315.6</v>
      </c>
      <c r="T21" s="0" t="n">
        <v>73.4</v>
      </c>
    </row>
    <row r="22" customFormat="false" ht="15" hidden="false" customHeight="false" outlineLevel="0" collapsed="false">
      <c r="A22" s="0" t="s">
        <v>322</v>
      </c>
      <c r="B22" s="0" t="s">
        <v>267</v>
      </c>
      <c r="C22" s="0" t="n">
        <v>79.1</v>
      </c>
      <c r="D22" s="0" t="n">
        <v>60.3</v>
      </c>
      <c r="E22" s="0" t="n">
        <v>95.2</v>
      </c>
      <c r="F22" s="0" t="n">
        <v>148.7</v>
      </c>
      <c r="G22" s="0" t="n">
        <v>35.2</v>
      </c>
      <c r="H22" s="0" t="n">
        <v>92.6</v>
      </c>
      <c r="I22" s="0" t="n">
        <v>51.3</v>
      </c>
      <c r="J22" s="0" t="n">
        <v>110.7</v>
      </c>
      <c r="K22" s="0" t="n">
        <v>58.8</v>
      </c>
      <c r="L22" s="0" t="n">
        <v>96.8</v>
      </c>
      <c r="M22" s="0" t="n">
        <v>49.8</v>
      </c>
      <c r="N22" s="0" t="n">
        <v>61.5</v>
      </c>
      <c r="O22" s="0" t="n">
        <v>204.5</v>
      </c>
      <c r="P22" s="0" t="n">
        <v>260.6</v>
      </c>
      <c r="Q22" s="0" t="n">
        <v>325.5</v>
      </c>
      <c r="R22" s="0" t="n">
        <v>362.3</v>
      </c>
      <c r="S22" s="0" t="n">
        <v>392</v>
      </c>
      <c r="T22" s="0" t="n">
        <v>132.1</v>
      </c>
    </row>
    <row r="23" customFormat="false" ht="15" hidden="false" customHeight="false" outlineLevel="0" collapsed="false">
      <c r="A23" s="0" t="s">
        <v>323</v>
      </c>
      <c r="B23" s="0" t="s">
        <v>269</v>
      </c>
      <c r="C23" s="0" t="n">
        <v>113</v>
      </c>
      <c r="D23" s="0" t="n">
        <v>41.6</v>
      </c>
      <c r="E23" s="0" t="n">
        <v>153.8</v>
      </c>
      <c r="F23" s="0" t="n">
        <v>49.1</v>
      </c>
      <c r="G23" s="0" t="n">
        <v>66.3</v>
      </c>
      <c r="H23" s="0" t="n">
        <v>126.5</v>
      </c>
      <c r="I23" s="0" t="n">
        <v>123.1</v>
      </c>
      <c r="J23" s="0" t="n">
        <v>144.6</v>
      </c>
      <c r="K23" s="0" t="n">
        <v>92.8</v>
      </c>
      <c r="L23" s="0" t="n">
        <v>130.7</v>
      </c>
      <c r="M23" s="0" t="n">
        <v>83.7</v>
      </c>
      <c r="N23" s="0" t="n">
        <v>95.5</v>
      </c>
      <c r="O23" s="0" t="n">
        <v>104.9</v>
      </c>
      <c r="P23" s="0" t="n">
        <v>161</v>
      </c>
      <c r="Q23" s="0" t="n">
        <v>225.9</v>
      </c>
      <c r="R23" s="0" t="n">
        <v>262.7</v>
      </c>
      <c r="S23" s="0" t="n">
        <v>307</v>
      </c>
      <c r="T23" s="0" t="n">
        <v>47.1</v>
      </c>
    </row>
    <row r="24" customFormat="false" ht="15" hidden="false" customHeight="false" outlineLevel="0" collapsed="false">
      <c r="A24" s="0" t="s">
        <v>324</v>
      </c>
      <c r="B24" s="0" t="s">
        <v>271</v>
      </c>
      <c r="C24" s="0" t="n">
        <v>125.9</v>
      </c>
      <c r="D24" s="0" t="n">
        <v>54.5</v>
      </c>
      <c r="E24" s="0" t="n">
        <v>166.7</v>
      </c>
      <c r="F24" s="0" t="n">
        <v>84.5</v>
      </c>
      <c r="G24" s="0" t="n">
        <v>79.2</v>
      </c>
      <c r="H24" s="0" t="n">
        <v>139.4</v>
      </c>
      <c r="I24" s="0" t="n">
        <v>136</v>
      </c>
      <c r="J24" s="0" t="n">
        <v>157.5</v>
      </c>
      <c r="K24" s="0" t="n">
        <v>105.7</v>
      </c>
      <c r="L24" s="0" t="n">
        <v>143.6</v>
      </c>
      <c r="M24" s="0" t="n">
        <v>96.6</v>
      </c>
      <c r="N24" s="0" t="n">
        <v>108.3</v>
      </c>
      <c r="O24" s="0" t="n">
        <v>140.2</v>
      </c>
      <c r="P24" s="0" t="n">
        <v>196.3</v>
      </c>
      <c r="Q24" s="0" t="n">
        <v>261.3</v>
      </c>
      <c r="R24" s="0" t="n">
        <v>337.4</v>
      </c>
      <c r="S24" s="0" t="n">
        <v>291.6</v>
      </c>
      <c r="T24" s="0" t="n">
        <v>37.6</v>
      </c>
    </row>
    <row r="25" customFormat="false" ht="15" hidden="false" customHeight="false" outlineLevel="0" collapsed="false">
      <c r="A25" s="0" t="s">
        <v>325</v>
      </c>
      <c r="B25" s="0" t="s">
        <v>273</v>
      </c>
      <c r="C25" s="0" t="n">
        <v>226.7</v>
      </c>
      <c r="D25" s="0" t="n">
        <v>155.3</v>
      </c>
      <c r="E25" s="0" t="n">
        <v>267.5</v>
      </c>
      <c r="F25" s="0" t="n">
        <v>66.4</v>
      </c>
      <c r="G25" s="0" t="n">
        <v>180</v>
      </c>
      <c r="H25" s="0" t="n">
        <v>240.2</v>
      </c>
      <c r="I25" s="0" t="n">
        <v>236.8</v>
      </c>
      <c r="J25" s="0" t="n">
        <v>258.3</v>
      </c>
      <c r="K25" s="0" t="n">
        <v>206.5</v>
      </c>
      <c r="L25" s="0" t="n">
        <v>244.4</v>
      </c>
      <c r="M25" s="0" t="n">
        <v>197.4</v>
      </c>
      <c r="N25" s="0" t="n">
        <v>209.1</v>
      </c>
      <c r="O25" s="0" t="n">
        <v>123.8</v>
      </c>
      <c r="P25" s="0" t="n">
        <v>167.8</v>
      </c>
      <c r="Q25" s="0" t="n">
        <v>232.7</v>
      </c>
      <c r="R25" s="0" t="n">
        <v>309</v>
      </c>
      <c r="S25" s="0" t="n">
        <v>359.1</v>
      </c>
      <c r="T25" s="0" t="n">
        <v>124.1</v>
      </c>
    </row>
    <row r="26" customFormat="false" ht="15" hidden="false" customHeight="false" outlineLevel="0" collapsed="false">
      <c r="A26" s="0" t="s">
        <v>326</v>
      </c>
      <c r="B26" s="0" t="s">
        <v>275</v>
      </c>
      <c r="C26" s="0" t="n">
        <v>171.7</v>
      </c>
      <c r="D26" s="0" t="n">
        <v>100.3</v>
      </c>
      <c r="E26" s="0" t="n">
        <v>212.5</v>
      </c>
      <c r="F26" s="0" t="n">
        <v>11.5</v>
      </c>
      <c r="G26" s="0" t="n">
        <v>125</v>
      </c>
      <c r="H26" s="0" t="n">
        <v>185.3</v>
      </c>
      <c r="I26" s="0" t="n">
        <v>181.9</v>
      </c>
      <c r="J26" s="0" t="n">
        <v>203.4</v>
      </c>
      <c r="K26" s="0" t="n">
        <v>151.5</v>
      </c>
      <c r="L26" s="0" t="n">
        <v>189.5</v>
      </c>
      <c r="M26" s="0" t="n">
        <v>142.5</v>
      </c>
      <c r="N26" s="0" t="n">
        <v>154.2</v>
      </c>
      <c r="O26" s="0" t="n">
        <v>68.8</v>
      </c>
      <c r="P26" s="0" t="n">
        <v>112.8</v>
      </c>
      <c r="Q26" s="0" t="n">
        <v>177.8</v>
      </c>
      <c r="R26" s="0" t="n">
        <v>254.1</v>
      </c>
      <c r="S26" s="0" t="n">
        <v>304.1</v>
      </c>
      <c r="T26" s="0" t="n">
        <v>69.2</v>
      </c>
    </row>
    <row r="27" customFormat="false" ht="15" hidden="false" customHeight="false" outlineLevel="0" collapsed="false">
      <c r="A27" s="0" t="s">
        <v>327</v>
      </c>
      <c r="B27" s="0" t="s">
        <v>277</v>
      </c>
      <c r="C27" s="0" t="n">
        <v>48.8</v>
      </c>
      <c r="D27" s="0" t="n">
        <v>88.3</v>
      </c>
      <c r="E27" s="0" t="n">
        <v>68.3</v>
      </c>
      <c r="F27" s="0" t="n">
        <v>176.7</v>
      </c>
      <c r="G27" s="0" t="n">
        <v>63.2</v>
      </c>
      <c r="H27" s="0" t="n">
        <v>57.7</v>
      </c>
      <c r="I27" s="0" t="n">
        <v>23.3</v>
      </c>
      <c r="J27" s="0" t="n">
        <v>75.8</v>
      </c>
      <c r="K27" s="0" t="n">
        <v>47.1</v>
      </c>
      <c r="L27" s="0" t="n">
        <v>68.8</v>
      </c>
      <c r="M27" s="0" t="n">
        <v>55.4</v>
      </c>
      <c r="N27" s="0" t="n">
        <v>56.3</v>
      </c>
      <c r="O27" s="0" t="n">
        <v>232.4</v>
      </c>
      <c r="P27" s="0" t="n">
        <v>288.5</v>
      </c>
      <c r="Q27" s="0" t="n">
        <v>353.5</v>
      </c>
      <c r="R27" s="0" t="n">
        <v>390.2</v>
      </c>
      <c r="S27" s="0" t="n">
        <v>419.9</v>
      </c>
      <c r="T27" s="0" t="n">
        <v>160</v>
      </c>
    </row>
    <row r="28" customFormat="false" ht="15" hidden="false" customHeight="false" outlineLevel="0" collapsed="false">
      <c r="A28" s="0" t="s">
        <v>328</v>
      </c>
      <c r="B28" s="0" t="s">
        <v>279</v>
      </c>
      <c r="C28" s="0" t="n">
        <v>184.4</v>
      </c>
      <c r="D28" s="0" t="n">
        <v>112.9</v>
      </c>
      <c r="E28" s="0" t="n">
        <v>225.2</v>
      </c>
      <c r="F28" s="0" t="n">
        <v>26.1</v>
      </c>
      <c r="G28" s="0" t="n">
        <v>137.7</v>
      </c>
      <c r="H28" s="0" t="n">
        <v>197.9</v>
      </c>
      <c r="I28" s="0" t="n">
        <v>194.5</v>
      </c>
      <c r="J28" s="0" t="n">
        <v>216</v>
      </c>
      <c r="K28" s="0" t="n">
        <v>164.1</v>
      </c>
      <c r="L28" s="0" t="n">
        <v>202.1</v>
      </c>
      <c r="M28" s="0" t="n">
        <v>155.1</v>
      </c>
      <c r="N28" s="0" t="n">
        <v>166.8</v>
      </c>
      <c r="O28" s="0" t="n">
        <v>74.3</v>
      </c>
      <c r="P28" s="0" t="n">
        <v>90.9</v>
      </c>
      <c r="Q28" s="0" t="n">
        <v>155.9</v>
      </c>
      <c r="R28" s="0" t="n">
        <v>232.2</v>
      </c>
      <c r="S28" s="0" t="n">
        <v>298.8</v>
      </c>
      <c r="T28" s="0" t="n">
        <v>82.5</v>
      </c>
    </row>
    <row r="29" customFormat="false" ht="15" hidden="false" customHeight="false" outlineLevel="0" collapsed="false">
      <c r="A29" s="0" t="s">
        <v>329</v>
      </c>
      <c r="B29" s="0" t="s">
        <v>281</v>
      </c>
      <c r="C29" s="0" t="n">
        <v>89</v>
      </c>
      <c r="D29" s="0" t="n">
        <v>17.6</v>
      </c>
      <c r="E29" s="0" t="n">
        <v>129.8</v>
      </c>
      <c r="F29" s="0" t="n">
        <v>73.1</v>
      </c>
      <c r="G29" s="0" t="n">
        <v>42.3</v>
      </c>
      <c r="H29" s="0" t="n">
        <v>102.5</v>
      </c>
      <c r="I29" s="0" t="n">
        <v>99.1</v>
      </c>
      <c r="J29" s="0" t="n">
        <v>120.7</v>
      </c>
      <c r="K29" s="0" t="n">
        <v>68.8</v>
      </c>
      <c r="L29" s="0" t="n">
        <v>106.7</v>
      </c>
      <c r="M29" s="0" t="n">
        <v>59.8</v>
      </c>
      <c r="N29" s="0" t="n">
        <v>71.5</v>
      </c>
      <c r="O29" s="0" t="n">
        <v>128.9</v>
      </c>
      <c r="P29" s="0" t="n">
        <v>185</v>
      </c>
      <c r="Q29" s="0" t="n">
        <v>250</v>
      </c>
      <c r="R29" s="0" t="n">
        <v>286.7</v>
      </c>
      <c r="S29" s="0" t="n">
        <v>316.4</v>
      </c>
      <c r="T29" s="0" t="n">
        <v>56.5</v>
      </c>
    </row>
    <row r="30" customFormat="false" ht="15" hidden="false" customHeight="false" outlineLevel="0" collapsed="false">
      <c r="A30" s="0" t="s">
        <v>330</v>
      </c>
      <c r="B30" s="0" t="s">
        <v>283</v>
      </c>
      <c r="C30" s="0" t="n">
        <v>86</v>
      </c>
      <c r="D30" s="0" t="n">
        <v>14.3</v>
      </c>
      <c r="E30" s="0" t="n">
        <v>126.8</v>
      </c>
      <c r="F30" s="0" t="n">
        <v>103.3</v>
      </c>
      <c r="G30" s="0" t="n">
        <v>39.3</v>
      </c>
      <c r="H30" s="0" t="n">
        <v>99.5</v>
      </c>
      <c r="I30" s="0" t="n">
        <v>85.7</v>
      </c>
      <c r="J30" s="0" t="n">
        <v>117.7</v>
      </c>
      <c r="K30" s="0" t="n">
        <v>65.8</v>
      </c>
      <c r="L30" s="0" t="n">
        <v>103.7</v>
      </c>
      <c r="M30" s="0" t="n">
        <v>56.8</v>
      </c>
      <c r="N30" s="0" t="n">
        <v>68.5</v>
      </c>
      <c r="O30" s="0" t="n">
        <v>159.1</v>
      </c>
      <c r="P30" s="0" t="n">
        <v>215.1</v>
      </c>
      <c r="Q30" s="0" t="n">
        <v>280.1</v>
      </c>
      <c r="R30" s="0" t="n">
        <v>316.9</v>
      </c>
      <c r="S30" s="0" t="n">
        <v>346.6</v>
      </c>
      <c r="T30" s="0" t="n">
        <v>86.7</v>
      </c>
    </row>
    <row r="31" customFormat="false" ht="15" hidden="false" customHeight="false" outlineLevel="0" collapsed="false">
      <c r="A31" s="0" t="s">
        <v>331</v>
      </c>
      <c r="B31" s="0" t="s">
        <v>285</v>
      </c>
      <c r="C31" s="0" t="n">
        <v>144.8</v>
      </c>
      <c r="D31" s="0" t="n">
        <v>73.4</v>
      </c>
      <c r="E31" s="0" t="n">
        <v>185.6</v>
      </c>
      <c r="F31" s="0" t="n">
        <v>94.3</v>
      </c>
      <c r="G31" s="0" t="n">
        <v>98.1</v>
      </c>
      <c r="H31" s="0" t="n">
        <v>158.3</v>
      </c>
      <c r="I31" s="0" t="n">
        <v>155</v>
      </c>
      <c r="J31" s="0" t="n">
        <v>176.5</v>
      </c>
      <c r="K31" s="0" t="n">
        <v>124.6</v>
      </c>
      <c r="L31" s="0" t="n">
        <v>162.5</v>
      </c>
      <c r="M31" s="0" t="n">
        <v>115.6</v>
      </c>
      <c r="N31" s="0" t="n">
        <v>127.3</v>
      </c>
      <c r="O31" s="0" t="n">
        <v>111</v>
      </c>
      <c r="P31" s="0" t="n">
        <v>206.1</v>
      </c>
      <c r="Q31" s="0" t="n">
        <v>252.5</v>
      </c>
      <c r="R31" s="0" t="n">
        <v>318.7</v>
      </c>
      <c r="S31" s="0" t="n">
        <v>272.9</v>
      </c>
      <c r="T31" s="0" t="n">
        <v>26.9</v>
      </c>
    </row>
    <row r="32" customFormat="false" ht="15" hidden="false" customHeight="false" outlineLevel="0" collapsed="false">
      <c r="A32" s="0" t="s">
        <v>332</v>
      </c>
      <c r="B32" s="0" t="s">
        <v>287</v>
      </c>
      <c r="C32" s="0" t="n">
        <v>175.9</v>
      </c>
      <c r="D32" s="0" t="n">
        <v>104.5</v>
      </c>
      <c r="E32" s="0" t="n">
        <v>216.7</v>
      </c>
      <c r="F32" s="0" t="n">
        <v>57</v>
      </c>
      <c r="G32" s="0" t="n">
        <v>129.2</v>
      </c>
      <c r="H32" s="0" t="n">
        <v>189.4</v>
      </c>
      <c r="I32" s="0" t="n">
        <v>186.1</v>
      </c>
      <c r="J32" s="0" t="n">
        <v>207.6</v>
      </c>
      <c r="K32" s="0" t="n">
        <v>155.7</v>
      </c>
      <c r="L32" s="0" t="n">
        <v>193.7</v>
      </c>
      <c r="M32" s="0" t="n">
        <v>146.7</v>
      </c>
      <c r="N32" s="0" t="n">
        <v>158.4</v>
      </c>
      <c r="O32" s="0" t="n">
        <v>63.1</v>
      </c>
      <c r="P32" s="0" t="n">
        <v>137.7</v>
      </c>
      <c r="Q32" s="0" t="n">
        <v>204.5</v>
      </c>
      <c r="R32" s="0" t="n">
        <v>294.1</v>
      </c>
      <c r="S32" s="0" t="n">
        <v>248.3</v>
      </c>
      <c r="T32" s="0" t="n">
        <v>31.2</v>
      </c>
    </row>
    <row r="33" customFormat="false" ht="15" hidden="false" customHeight="false" outlineLevel="0" collapsed="false">
      <c r="A33" s="0" t="s">
        <v>333</v>
      </c>
      <c r="B33" s="0" t="s">
        <v>289</v>
      </c>
      <c r="C33" s="0" t="n">
        <v>168.6</v>
      </c>
      <c r="D33" s="0" t="n">
        <v>97.2</v>
      </c>
      <c r="E33" s="0" t="n">
        <v>209.4</v>
      </c>
      <c r="F33" s="0" t="n">
        <v>59.5</v>
      </c>
      <c r="G33" s="0" t="n">
        <v>121.9</v>
      </c>
      <c r="H33" s="0" t="n">
        <v>182.1</v>
      </c>
      <c r="I33" s="0" t="n">
        <v>178.7</v>
      </c>
      <c r="J33" s="0" t="n">
        <v>200.2</v>
      </c>
      <c r="K33" s="0" t="n">
        <v>148.4</v>
      </c>
      <c r="L33" s="0" t="n">
        <v>186.3</v>
      </c>
      <c r="M33" s="0" t="n">
        <v>139.3</v>
      </c>
      <c r="N33" s="0" t="n">
        <v>151</v>
      </c>
      <c r="O33" s="0" t="n">
        <v>74.7</v>
      </c>
      <c r="P33" s="0" t="n">
        <v>149.4</v>
      </c>
      <c r="Q33" s="0" t="n">
        <v>216.2</v>
      </c>
      <c r="R33" s="0" t="n">
        <v>283.5</v>
      </c>
      <c r="S33" s="0" t="n">
        <v>237.6</v>
      </c>
      <c r="T33" s="0" t="n">
        <v>23.9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11"/>
    <col collapsed="false" customWidth="true" hidden="false" outlineLevel="0" max="4" min="4" style="0" width="14"/>
    <col collapsed="false" customWidth="true" hidden="false" outlineLevel="0" max="5" min="5" style="0" width="18"/>
    <col collapsed="false" customWidth="true" hidden="false" outlineLevel="0" max="6" min="6" style="0" width="12"/>
  </cols>
  <sheetData>
    <row r="1" customFormat="false" ht="15" hidden="false" customHeight="false" outlineLevel="0" collapsed="false">
      <c r="A1" s="1" t="s">
        <v>357</v>
      </c>
    </row>
    <row r="4" customFormat="false" ht="55.2" hidden="false" customHeight="false" outlineLevel="0" collapsed="false">
      <c r="A4" s="2" t="s">
        <v>293</v>
      </c>
      <c r="B4" s="2" t="s">
        <v>295</v>
      </c>
      <c r="C4" s="2" t="s">
        <v>298</v>
      </c>
      <c r="D4" s="2" t="s">
        <v>358</v>
      </c>
      <c r="E4" s="2" t="s">
        <v>359</v>
      </c>
      <c r="F4" s="2" t="s">
        <v>360</v>
      </c>
      <c r="G4" s="2" t="s">
        <v>361</v>
      </c>
      <c r="H4" s="2" t="s">
        <v>362</v>
      </c>
      <c r="I4" s="2" t="s">
        <v>363</v>
      </c>
      <c r="J4" s="2" t="s">
        <v>364</v>
      </c>
    </row>
    <row r="5" customFormat="false" ht="15" hidden="false" customHeight="false" outlineLevel="0" collapsed="false">
      <c r="A5" s="0" t="s">
        <v>140</v>
      </c>
      <c r="B5" s="0" t="s">
        <v>142</v>
      </c>
      <c r="C5" s="0" t="s">
        <v>144</v>
      </c>
      <c r="D5" s="0" t="n">
        <v>20</v>
      </c>
      <c r="E5" s="0" t="n">
        <v>10347</v>
      </c>
      <c r="F5" s="0" t="n">
        <v>34.4</v>
      </c>
      <c r="G5" s="35" t="s">
        <v>365</v>
      </c>
      <c r="H5" s="0" t="n">
        <v>0</v>
      </c>
      <c r="I5" s="35" t="s">
        <v>366</v>
      </c>
      <c r="J5" s="35" t="s">
        <v>367</v>
      </c>
    </row>
    <row r="6" customFormat="false" ht="15" hidden="false" customHeight="false" outlineLevel="0" collapsed="false">
      <c r="A6" s="0" t="s">
        <v>145</v>
      </c>
      <c r="B6" s="0" t="s">
        <v>147</v>
      </c>
      <c r="C6" s="0" t="s">
        <v>144</v>
      </c>
      <c r="D6" s="0" t="n">
        <v>29</v>
      </c>
      <c r="E6" s="0" t="n">
        <v>18880</v>
      </c>
      <c r="F6" s="0" t="n">
        <v>14.3</v>
      </c>
      <c r="G6" s="35" t="s">
        <v>368</v>
      </c>
      <c r="H6" s="0" t="n">
        <v>0</v>
      </c>
      <c r="I6" s="35" t="s">
        <v>366</v>
      </c>
      <c r="J6" s="35" t="s">
        <v>367</v>
      </c>
    </row>
    <row r="7" customFormat="false" ht="15" hidden="false" customHeight="false" outlineLevel="0" collapsed="false">
      <c r="A7" s="0" t="s">
        <v>148</v>
      </c>
      <c r="B7" s="0" t="s">
        <v>150</v>
      </c>
      <c r="C7" s="0" t="s">
        <v>144</v>
      </c>
      <c r="D7" s="0" t="n">
        <v>13</v>
      </c>
      <c r="E7" s="0" t="n">
        <v>8294</v>
      </c>
      <c r="F7" s="0" t="n">
        <v>19.6</v>
      </c>
      <c r="G7" s="35" t="s">
        <v>369</v>
      </c>
      <c r="H7" s="0" t="n">
        <v>0</v>
      </c>
      <c r="I7" s="35" t="s">
        <v>366</v>
      </c>
      <c r="J7" s="35" t="s">
        <v>367</v>
      </c>
    </row>
    <row r="8" customFormat="false" ht="15" hidden="false" customHeight="false" outlineLevel="0" collapsed="false">
      <c r="A8" s="0" t="s">
        <v>151</v>
      </c>
      <c r="B8" s="0" t="s">
        <v>153</v>
      </c>
      <c r="C8" s="0" t="s">
        <v>144</v>
      </c>
      <c r="D8" s="0" t="n">
        <v>25</v>
      </c>
      <c r="E8" s="0" t="n">
        <v>11798</v>
      </c>
      <c r="F8" s="0" t="n">
        <v>11.5</v>
      </c>
      <c r="G8" s="35" t="s">
        <v>370</v>
      </c>
      <c r="H8" s="0" t="n">
        <v>0</v>
      </c>
      <c r="I8" s="35" t="s">
        <v>366</v>
      </c>
      <c r="J8" s="35" t="s">
        <v>367</v>
      </c>
    </row>
    <row r="9" customFormat="false" ht="15" hidden="false" customHeight="false" outlineLevel="0" collapsed="false">
      <c r="A9" s="0" t="s">
        <v>154</v>
      </c>
      <c r="B9" s="0" t="s">
        <v>156</v>
      </c>
      <c r="C9" s="0" t="s">
        <v>144</v>
      </c>
      <c r="D9" s="0" t="n">
        <v>26</v>
      </c>
      <c r="E9" s="0" t="n">
        <v>17917</v>
      </c>
      <c r="F9" s="0" t="n">
        <v>12.8</v>
      </c>
      <c r="G9" s="35" t="s">
        <v>371</v>
      </c>
      <c r="H9" s="0" t="n">
        <v>0</v>
      </c>
      <c r="I9" s="35" t="s">
        <v>366</v>
      </c>
      <c r="J9" s="35" t="s">
        <v>367</v>
      </c>
    </row>
    <row r="10" customFormat="false" ht="15" hidden="false" customHeight="false" outlineLevel="0" collapsed="false">
      <c r="A10" s="0" t="s">
        <v>157</v>
      </c>
      <c r="B10" s="0" t="s">
        <v>159</v>
      </c>
      <c r="C10" s="0" t="s">
        <v>144</v>
      </c>
      <c r="D10" s="0" t="n">
        <v>17</v>
      </c>
      <c r="E10" s="0" t="n">
        <v>10107</v>
      </c>
      <c r="F10" s="0" t="n">
        <v>27.7</v>
      </c>
      <c r="G10" s="35" t="s">
        <v>372</v>
      </c>
      <c r="H10" s="0" t="n">
        <v>0</v>
      </c>
      <c r="I10" s="35" t="s">
        <v>366</v>
      </c>
      <c r="J10" s="35" t="s">
        <v>367</v>
      </c>
    </row>
    <row r="11" customFormat="false" ht="15" hidden="false" customHeight="false" outlineLevel="0" collapsed="false">
      <c r="A11" s="0" t="s">
        <v>160</v>
      </c>
      <c r="B11" s="0" t="s">
        <v>162</v>
      </c>
      <c r="C11" s="0" t="s">
        <v>144</v>
      </c>
      <c r="D11" s="0" t="n">
        <v>18</v>
      </c>
      <c r="E11" s="0" t="n">
        <v>10175</v>
      </c>
      <c r="F11" s="0" t="n">
        <v>17.7</v>
      </c>
      <c r="G11" s="35" t="s">
        <v>373</v>
      </c>
      <c r="H11" s="0" t="n">
        <v>0</v>
      </c>
      <c r="I11" s="35" t="s">
        <v>366</v>
      </c>
      <c r="J11" s="35" t="s">
        <v>367</v>
      </c>
    </row>
    <row r="12" customFormat="false" ht="15" hidden="false" customHeight="false" outlineLevel="0" collapsed="false">
      <c r="A12" s="0" t="s">
        <v>163</v>
      </c>
      <c r="B12" s="0" t="s">
        <v>165</v>
      </c>
      <c r="C12" s="0" t="s">
        <v>144</v>
      </c>
      <c r="D12" s="0" t="n">
        <v>15</v>
      </c>
      <c r="E12" s="0" t="n">
        <v>8502</v>
      </c>
      <c r="F12" s="0" t="n">
        <v>41.8</v>
      </c>
      <c r="G12" s="35" t="s">
        <v>374</v>
      </c>
      <c r="H12" s="0" t="n">
        <v>0</v>
      </c>
      <c r="I12" s="35" t="s">
        <v>366</v>
      </c>
      <c r="J12" s="35" t="s">
        <v>367</v>
      </c>
    </row>
    <row r="13" customFormat="false" ht="15" hidden="false" customHeight="false" outlineLevel="0" collapsed="false">
      <c r="A13" s="0" t="s">
        <v>166</v>
      </c>
      <c r="B13" s="0" t="s">
        <v>168</v>
      </c>
      <c r="C13" s="0" t="s">
        <v>144</v>
      </c>
      <c r="D13" s="0" t="n">
        <v>25</v>
      </c>
      <c r="E13" s="0" t="n">
        <v>17481</v>
      </c>
      <c r="F13" s="0" t="n">
        <v>36.4</v>
      </c>
      <c r="G13" s="35" t="s">
        <v>375</v>
      </c>
      <c r="H13" s="0" t="n">
        <v>0</v>
      </c>
      <c r="I13" s="35" t="s">
        <v>366</v>
      </c>
      <c r="J13" s="35" t="s">
        <v>367</v>
      </c>
    </row>
    <row r="14" customFormat="false" ht="15" hidden="false" customHeight="false" outlineLevel="0" collapsed="false">
      <c r="A14" s="0" t="s">
        <v>169</v>
      </c>
      <c r="B14" s="0" t="s">
        <v>171</v>
      </c>
      <c r="C14" s="0" t="s">
        <v>144</v>
      </c>
      <c r="D14" s="0" t="n">
        <v>17</v>
      </c>
      <c r="E14" s="0" t="n">
        <v>10107</v>
      </c>
      <c r="F14" s="0" t="n">
        <v>41.4</v>
      </c>
      <c r="G14" s="35" t="s">
        <v>372</v>
      </c>
      <c r="H14" s="0" t="n">
        <v>1</v>
      </c>
      <c r="I14" s="35" t="s">
        <v>366</v>
      </c>
      <c r="J14" s="35" t="s">
        <v>367</v>
      </c>
    </row>
    <row r="15" customFormat="false" ht="15" hidden="false" customHeight="false" outlineLevel="0" collapsed="false">
      <c r="A15" s="0" t="s">
        <v>172</v>
      </c>
      <c r="B15" s="0" t="s">
        <v>174</v>
      </c>
      <c r="C15" s="0" t="s">
        <v>144</v>
      </c>
      <c r="D15" s="0" t="n">
        <v>26</v>
      </c>
      <c r="E15" s="0" t="n">
        <v>17917</v>
      </c>
      <c r="F15" s="0" t="n">
        <v>27.4</v>
      </c>
      <c r="G15" s="35" t="s">
        <v>371</v>
      </c>
      <c r="H15" s="0" t="n">
        <v>0</v>
      </c>
      <c r="I15" s="35" t="s">
        <v>366</v>
      </c>
      <c r="J15" s="35" t="s">
        <v>367</v>
      </c>
    </row>
    <row r="16" customFormat="false" ht="15" hidden="false" customHeight="false" outlineLevel="0" collapsed="false">
      <c r="A16" s="0" t="s">
        <v>175</v>
      </c>
      <c r="B16" s="0" t="s">
        <v>177</v>
      </c>
      <c r="C16" s="0" t="s">
        <v>144</v>
      </c>
      <c r="D16" s="0" t="n">
        <v>24</v>
      </c>
      <c r="E16" s="0" t="n">
        <v>17335</v>
      </c>
      <c r="F16" s="0" t="n">
        <v>39.1</v>
      </c>
      <c r="G16" s="35" t="s">
        <v>376</v>
      </c>
      <c r="H16" s="0" t="n">
        <v>0</v>
      </c>
      <c r="I16" s="35" t="s">
        <v>366</v>
      </c>
      <c r="J16" s="35" t="s">
        <v>367</v>
      </c>
    </row>
    <row r="17" customFormat="false" ht="15" hidden="false" customHeight="false" outlineLevel="0" collapsed="false">
      <c r="A17" s="0" t="s">
        <v>178</v>
      </c>
      <c r="B17" s="0" t="s">
        <v>180</v>
      </c>
      <c r="C17" s="0" t="s">
        <v>144</v>
      </c>
      <c r="D17" s="0" t="n">
        <v>23</v>
      </c>
      <c r="E17" s="0" t="n">
        <v>11511</v>
      </c>
      <c r="F17" s="0" t="n">
        <v>14.7</v>
      </c>
      <c r="G17" s="35" t="s">
        <v>377</v>
      </c>
      <c r="H17" s="0" t="n">
        <v>0</v>
      </c>
      <c r="I17" s="35" t="s">
        <v>366</v>
      </c>
      <c r="J17" s="35" t="s">
        <v>367</v>
      </c>
    </row>
    <row r="18" customFormat="false" ht="15" hidden="false" customHeight="false" outlineLevel="0" collapsed="false">
      <c r="A18" s="0" t="s">
        <v>182</v>
      </c>
      <c r="B18" s="0" t="s">
        <v>184</v>
      </c>
      <c r="C18" s="0" t="s">
        <v>144</v>
      </c>
      <c r="D18" s="0" t="n">
        <v>19</v>
      </c>
      <c r="E18" s="0" t="n">
        <v>11064</v>
      </c>
      <c r="F18" s="0" t="n">
        <v>82</v>
      </c>
      <c r="G18" s="35" t="s">
        <v>378</v>
      </c>
      <c r="H18" s="0" t="n">
        <v>1</v>
      </c>
      <c r="I18" s="35" t="s">
        <v>366</v>
      </c>
      <c r="J18" s="35" t="s">
        <v>367</v>
      </c>
    </row>
    <row r="19" customFormat="false" ht="15" hidden="false" customHeight="false" outlineLevel="0" collapsed="false">
      <c r="A19" s="0" t="s">
        <v>185</v>
      </c>
      <c r="B19" s="0" t="s">
        <v>187</v>
      </c>
      <c r="C19" s="0" t="s">
        <v>144</v>
      </c>
      <c r="D19" s="0" t="n">
        <v>6</v>
      </c>
      <c r="E19" s="0" t="n">
        <v>7910</v>
      </c>
      <c r="F19" s="0" t="n">
        <v>122.6</v>
      </c>
      <c r="G19" s="35" t="s">
        <v>379</v>
      </c>
      <c r="H19" s="0" t="n">
        <v>0</v>
      </c>
      <c r="I19" s="35" t="s">
        <v>366</v>
      </c>
      <c r="J19" s="35" t="s">
        <v>367</v>
      </c>
    </row>
    <row r="20" customFormat="false" ht="15" hidden="false" customHeight="false" outlineLevel="0" collapsed="false">
      <c r="A20" s="0" t="s">
        <v>188</v>
      </c>
      <c r="B20" s="0" t="s">
        <v>190</v>
      </c>
      <c r="C20" s="0" t="s">
        <v>144</v>
      </c>
      <c r="D20" s="0" t="n">
        <v>3</v>
      </c>
      <c r="E20" s="0" t="n">
        <v>1296</v>
      </c>
      <c r="F20" s="0" t="n">
        <v>134</v>
      </c>
      <c r="G20" s="35" t="s">
        <v>380</v>
      </c>
      <c r="H20" s="0" t="n">
        <v>0</v>
      </c>
      <c r="I20" s="35" t="s">
        <v>366</v>
      </c>
      <c r="J20" s="35" t="s">
        <v>367</v>
      </c>
    </row>
    <row r="21" customFormat="false" ht="15" hidden="false" customHeight="false" outlineLevel="0" collapsed="false">
      <c r="A21" s="0" t="s">
        <v>191</v>
      </c>
      <c r="B21" s="0" t="s">
        <v>193</v>
      </c>
      <c r="C21" s="0" t="s">
        <v>144</v>
      </c>
      <c r="D21" s="0" t="n">
        <v>2</v>
      </c>
      <c r="E21" s="0" t="n">
        <v>860</v>
      </c>
      <c r="F21" s="0" t="n">
        <v>165</v>
      </c>
      <c r="G21" s="35" t="s">
        <v>381</v>
      </c>
      <c r="H21" s="0" t="n">
        <v>2</v>
      </c>
      <c r="I21" s="35" t="s">
        <v>366</v>
      </c>
      <c r="J21" s="35" t="s">
        <v>367</v>
      </c>
    </row>
    <row r="22" customFormat="false" ht="15" hidden="false" customHeight="false" outlineLevel="0" collapsed="false">
      <c r="A22" s="0" t="s">
        <v>195</v>
      </c>
      <c r="B22" s="0" t="s">
        <v>197</v>
      </c>
      <c r="C22" s="0" t="s">
        <v>199</v>
      </c>
      <c r="D22" s="0" t="n">
        <v>28</v>
      </c>
      <c r="E22" s="0" t="n">
        <v>16839</v>
      </c>
      <c r="F22" s="0" t="n">
        <v>19.5</v>
      </c>
      <c r="G22" s="35" t="s">
        <v>382</v>
      </c>
      <c r="H22" s="0" t="n">
        <v>0</v>
      </c>
      <c r="I22" s="35" t="s">
        <v>366</v>
      </c>
      <c r="J22" s="35" t="s">
        <v>367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8"/>
    <col collapsed="false" customWidth="true" hidden="false" outlineLevel="0" max="4" min="3" style="0" width="20"/>
    <col collapsed="false" customWidth="true" hidden="false" outlineLevel="0" max="5" min="5" style="0" width="18"/>
    <col collapsed="false" customWidth="true" hidden="false" outlineLevel="0" max="6" min="6" style="0" width="10"/>
    <col collapsed="false" customWidth="true" hidden="false" outlineLevel="0" max="7" min="7" style="0" width="12"/>
    <col collapsed="false" customWidth="true" hidden="false" outlineLevel="0" max="10" min="8" style="0" width="11"/>
    <col collapsed="false" customWidth="true" hidden="false" outlineLevel="0" max="12" min="11" style="0" width="9"/>
    <col collapsed="false" customWidth="true" hidden="false" outlineLevel="0" max="13" min="13" style="0" width="11"/>
    <col collapsed="false" customWidth="true" hidden="false" outlineLevel="0" max="14" min="14" style="0" width="9"/>
    <col collapsed="false" customWidth="true" hidden="false" outlineLevel="0" max="15" min="15" style="0" width="11"/>
    <col collapsed="false" customWidth="true" hidden="false" outlineLevel="0" max="16" min="16" style="0" width="60"/>
  </cols>
  <sheetData>
    <row r="1" customFormat="false" ht="15" hidden="false" customHeight="false" outlineLevel="0" collapsed="false">
      <c r="A1" s="1" t="s">
        <v>383</v>
      </c>
    </row>
    <row r="2" customFormat="false" ht="15" hidden="false" customHeight="false" outlineLevel="0" collapsed="false">
      <c r="A2" s="0" t="s">
        <v>384</v>
      </c>
    </row>
    <row r="4" customFormat="false" ht="28.35" hidden="false" customHeight="false" outlineLevel="0" collapsed="false">
      <c r="A4" s="2" t="s">
        <v>337</v>
      </c>
      <c r="B4" s="2" t="s">
        <v>385</v>
      </c>
      <c r="C4" s="2" t="s">
        <v>386</v>
      </c>
      <c r="D4" s="2" t="s">
        <v>387</v>
      </c>
      <c r="E4" s="2" t="s">
        <v>388</v>
      </c>
      <c r="F4" s="2" t="s">
        <v>389</v>
      </c>
      <c r="G4" s="2" t="s">
        <v>390</v>
      </c>
      <c r="H4" s="2" t="s">
        <v>391</v>
      </c>
      <c r="I4" s="2" t="s">
        <v>392</v>
      </c>
      <c r="J4" s="2" t="s">
        <v>393</v>
      </c>
      <c r="K4" s="2" t="s">
        <v>394</v>
      </c>
      <c r="L4" s="2" t="s">
        <v>395</v>
      </c>
      <c r="M4" s="2" t="s">
        <v>396</v>
      </c>
      <c r="N4" s="2" t="s">
        <v>397</v>
      </c>
      <c r="O4" s="2" t="s">
        <v>398</v>
      </c>
      <c r="P4" s="2" t="s">
        <v>399</v>
      </c>
    </row>
    <row r="5" customFormat="false" ht="15" hidden="false" customHeight="false" outlineLevel="0" collapsed="false">
      <c r="A5" s="0" t="s">
        <v>302</v>
      </c>
      <c r="B5" s="0" t="s">
        <v>151</v>
      </c>
      <c r="C5" s="0" t="s">
        <v>229</v>
      </c>
      <c r="D5" s="0" t="s">
        <v>153</v>
      </c>
      <c r="E5" s="0" t="s">
        <v>400</v>
      </c>
      <c r="F5" s="0" t="n">
        <v>30.343</v>
      </c>
      <c r="G5" s="0" t="n">
        <v>30.4</v>
      </c>
      <c r="H5" s="0" t="n">
        <v>23.7</v>
      </c>
      <c r="I5" s="0" t="n">
        <v>0.1</v>
      </c>
      <c r="J5" s="0" t="n">
        <v>0.2</v>
      </c>
      <c r="K5" s="0" t="n">
        <v>1</v>
      </c>
      <c r="L5" s="0" t="n">
        <v>1</v>
      </c>
      <c r="M5" s="0" t="n">
        <v>0</v>
      </c>
      <c r="N5" s="0" t="n">
        <v>0</v>
      </c>
      <c r="O5" s="0" t="s">
        <v>401</v>
      </c>
      <c r="P5" s="0" t="s">
        <v>402</v>
      </c>
    </row>
    <row r="6" customFormat="false" ht="15" hidden="false" customHeight="false" outlineLevel="0" collapsed="false">
      <c r="A6" s="0" t="s">
        <v>302</v>
      </c>
      <c r="B6" s="0" t="s">
        <v>178</v>
      </c>
      <c r="C6" s="0" t="s">
        <v>229</v>
      </c>
      <c r="D6" s="0" t="s">
        <v>180</v>
      </c>
      <c r="E6" s="0" t="s">
        <v>400</v>
      </c>
      <c r="F6" s="0" t="n">
        <v>32.555</v>
      </c>
      <c r="G6" s="0" t="n">
        <v>33</v>
      </c>
      <c r="H6" s="0" t="n">
        <v>23.6</v>
      </c>
      <c r="I6" s="0" t="n">
        <v>0.4</v>
      </c>
      <c r="J6" s="0" t="n">
        <v>1.4</v>
      </c>
      <c r="K6" s="0" t="n">
        <v>1</v>
      </c>
      <c r="L6" s="0" t="n">
        <v>1</v>
      </c>
      <c r="M6" s="0" t="n">
        <v>0</v>
      </c>
      <c r="N6" s="0" t="n">
        <v>0</v>
      </c>
      <c r="O6" s="0" t="s">
        <v>401</v>
      </c>
      <c r="P6" s="0" t="s">
        <v>403</v>
      </c>
    </row>
    <row r="7" customFormat="false" ht="15" hidden="false" customHeight="false" outlineLevel="0" collapsed="false">
      <c r="A7" s="0" t="s">
        <v>308</v>
      </c>
      <c r="B7" s="0" t="s">
        <v>151</v>
      </c>
      <c r="C7" s="0" t="s">
        <v>237</v>
      </c>
      <c r="D7" s="0" t="s">
        <v>153</v>
      </c>
      <c r="E7" s="0" t="s">
        <v>400</v>
      </c>
      <c r="F7" s="0" t="n">
        <v>53.196</v>
      </c>
      <c r="G7" s="0" t="n">
        <v>53.4</v>
      </c>
      <c r="H7" s="0" t="n">
        <v>35.4</v>
      </c>
      <c r="I7" s="0" t="n">
        <v>0.2</v>
      </c>
      <c r="J7" s="0" t="n">
        <v>0.4</v>
      </c>
      <c r="K7" s="0" t="n">
        <v>1</v>
      </c>
      <c r="L7" s="0" t="n">
        <v>1</v>
      </c>
      <c r="M7" s="0" t="n">
        <v>0</v>
      </c>
      <c r="N7" s="0" t="n">
        <v>0</v>
      </c>
      <c r="O7" s="0" t="s">
        <v>401</v>
      </c>
      <c r="P7" s="0" t="s">
        <v>404</v>
      </c>
    </row>
    <row r="8" customFormat="false" ht="15" hidden="false" customHeight="false" outlineLevel="0" collapsed="false">
      <c r="A8" s="0" t="s">
        <v>310</v>
      </c>
      <c r="B8" s="0" t="s">
        <v>178</v>
      </c>
      <c r="C8" s="0" t="s">
        <v>241</v>
      </c>
      <c r="D8" s="0" t="s">
        <v>180</v>
      </c>
      <c r="E8" s="0" t="s">
        <v>400</v>
      </c>
      <c r="F8" s="0" t="n">
        <v>27.502</v>
      </c>
      <c r="G8" s="0" t="n">
        <v>27.6</v>
      </c>
      <c r="H8" s="0" t="n">
        <v>15.2</v>
      </c>
      <c r="I8" s="0" t="n">
        <v>0.1</v>
      </c>
      <c r="J8" s="0" t="n">
        <v>0.4</v>
      </c>
      <c r="K8" s="0" t="n">
        <v>1</v>
      </c>
      <c r="L8" s="0" t="n">
        <v>1</v>
      </c>
      <c r="M8" s="0" t="n">
        <v>0</v>
      </c>
      <c r="N8" s="0" t="n">
        <v>0</v>
      </c>
      <c r="O8" s="0" t="s">
        <v>401</v>
      </c>
      <c r="P8" s="0" t="s">
        <v>405</v>
      </c>
    </row>
    <row r="9" customFormat="false" ht="15" hidden="false" customHeight="false" outlineLevel="0" collapsed="false">
      <c r="A9" s="0" t="s">
        <v>306</v>
      </c>
      <c r="B9" s="0" t="s">
        <v>140</v>
      </c>
      <c r="C9" s="0" t="s">
        <v>233</v>
      </c>
      <c r="D9" s="0" t="s">
        <v>142</v>
      </c>
      <c r="E9" s="0" t="s">
        <v>400</v>
      </c>
      <c r="F9" s="0" t="n">
        <v>33.065</v>
      </c>
      <c r="G9" s="0" t="n">
        <v>34.4</v>
      </c>
      <c r="H9" s="0" t="n">
        <v>28</v>
      </c>
      <c r="I9" s="0" t="n">
        <v>1.3</v>
      </c>
      <c r="J9" s="0" t="n">
        <v>4</v>
      </c>
      <c r="K9" s="0" t="n">
        <v>1</v>
      </c>
      <c r="L9" s="0" t="n">
        <v>1</v>
      </c>
      <c r="M9" s="0" t="n">
        <v>0</v>
      </c>
      <c r="N9" s="0" t="n">
        <v>0</v>
      </c>
      <c r="O9" s="0" t="s">
        <v>401</v>
      </c>
      <c r="P9" s="0" t="s">
        <v>406</v>
      </c>
    </row>
    <row r="10" customFormat="false" ht="15" hidden="false" customHeight="false" outlineLevel="0" collapsed="false">
      <c r="A10" s="0" t="s">
        <v>306</v>
      </c>
      <c r="B10" s="0" t="s">
        <v>148</v>
      </c>
      <c r="C10" s="0" t="s">
        <v>233</v>
      </c>
      <c r="D10" s="0" t="s">
        <v>150</v>
      </c>
      <c r="E10" s="0" t="s">
        <v>400</v>
      </c>
      <c r="F10" s="0" t="n">
        <v>19.459</v>
      </c>
      <c r="G10" s="0" t="n">
        <v>19.6</v>
      </c>
      <c r="H10" s="0" t="n">
        <v>17.3</v>
      </c>
      <c r="I10" s="0" t="n">
        <v>0.1</v>
      </c>
      <c r="J10" s="0" t="n">
        <v>0.7</v>
      </c>
      <c r="K10" s="0" t="n">
        <v>1</v>
      </c>
      <c r="L10" s="0" t="n">
        <v>1</v>
      </c>
      <c r="M10" s="0" t="n">
        <v>0</v>
      </c>
      <c r="N10" s="0" t="n">
        <v>0</v>
      </c>
      <c r="O10" s="0" t="s">
        <v>401</v>
      </c>
      <c r="P10" s="0" t="s">
        <v>407</v>
      </c>
    </row>
    <row r="11" customFormat="false" ht="15" hidden="false" customHeight="false" outlineLevel="0" collapsed="false">
      <c r="A11" s="0" t="s">
        <v>307</v>
      </c>
      <c r="B11" s="0" t="s">
        <v>154</v>
      </c>
      <c r="C11" s="0" t="s">
        <v>235</v>
      </c>
      <c r="D11" s="0" t="s">
        <v>156</v>
      </c>
      <c r="E11" s="0" t="s">
        <v>400</v>
      </c>
      <c r="F11" s="0" t="n">
        <v>110.009</v>
      </c>
      <c r="G11" s="0" t="n">
        <v>111</v>
      </c>
      <c r="H11" s="0" t="n">
        <v>79</v>
      </c>
      <c r="I11" s="0" t="n">
        <v>1</v>
      </c>
      <c r="J11" s="0" t="n">
        <v>0.9</v>
      </c>
      <c r="K11" s="0" t="n">
        <v>1</v>
      </c>
      <c r="L11" s="0" t="n">
        <v>1</v>
      </c>
      <c r="M11" s="0" t="n">
        <v>0</v>
      </c>
      <c r="N11" s="0" t="n">
        <v>0</v>
      </c>
      <c r="O11" s="0" t="s">
        <v>401</v>
      </c>
      <c r="P11" s="0" t="s">
        <v>408</v>
      </c>
    </row>
    <row r="12" customFormat="false" ht="15" hidden="false" customHeight="false" outlineLevel="0" collapsed="false">
      <c r="A12" s="0" t="s">
        <v>302</v>
      </c>
      <c r="B12" s="0" t="s">
        <v>145</v>
      </c>
      <c r="C12" s="0" t="s">
        <v>229</v>
      </c>
      <c r="D12" s="0" t="s">
        <v>147</v>
      </c>
      <c r="E12" s="0" t="s">
        <v>400</v>
      </c>
      <c r="F12" s="0" t="n">
        <v>117.184</v>
      </c>
      <c r="G12" s="0" t="n">
        <v>117</v>
      </c>
      <c r="H12" s="0" t="n">
        <v>96</v>
      </c>
      <c r="I12" s="0" t="n">
        <v>-0.2</v>
      </c>
      <c r="J12" s="0" t="n">
        <v>-0.2</v>
      </c>
      <c r="K12" s="0" t="n">
        <v>1</v>
      </c>
      <c r="L12" s="0" t="n">
        <v>1</v>
      </c>
      <c r="M12" s="0" t="n">
        <v>0</v>
      </c>
      <c r="N12" s="0" t="n">
        <v>0</v>
      </c>
      <c r="O12" s="0" t="s">
        <v>401</v>
      </c>
      <c r="P12" s="0" t="s">
        <v>409</v>
      </c>
    </row>
    <row r="13" customFormat="false" ht="15" hidden="false" customHeight="false" outlineLevel="0" collapsed="false">
      <c r="A13" s="0" t="s">
        <v>302</v>
      </c>
      <c r="B13" s="0" t="s">
        <v>191</v>
      </c>
      <c r="C13" s="0" t="s">
        <v>229</v>
      </c>
      <c r="D13" s="0" t="s">
        <v>193</v>
      </c>
      <c r="E13" s="0" t="s">
        <v>400</v>
      </c>
      <c r="F13" s="0" t="n">
        <v>269.932</v>
      </c>
      <c r="G13" s="0" t="n">
        <v>223</v>
      </c>
      <c r="H13" s="0" t="n">
        <v>137.3</v>
      </c>
      <c r="I13" s="0" t="n">
        <v>-46.9</v>
      </c>
      <c r="J13" s="0" t="n">
        <v>-17.4</v>
      </c>
      <c r="K13" s="0" t="n">
        <v>0</v>
      </c>
      <c r="L13" s="0" t="n">
        <v>0</v>
      </c>
      <c r="M13" s="0" t="n">
        <v>0</v>
      </c>
      <c r="N13" s="0" t="n">
        <v>1</v>
      </c>
      <c r="O13" s="0" t="s">
        <v>401</v>
      </c>
      <c r="P13" s="0" t="s">
        <v>410</v>
      </c>
    </row>
    <row r="14" customFormat="false" ht="15" hidden="false" customHeight="false" outlineLevel="0" collapsed="false">
      <c r="A14" s="0" t="s">
        <v>309</v>
      </c>
      <c r="B14" s="0" t="s">
        <v>191</v>
      </c>
      <c r="C14" s="0" t="s">
        <v>239</v>
      </c>
      <c r="D14" s="0" t="s">
        <v>193</v>
      </c>
      <c r="E14" s="0" t="s">
        <v>400</v>
      </c>
      <c r="F14" s="0" t="n">
        <v>263.443</v>
      </c>
      <c r="G14" s="0" t="n">
        <v>216</v>
      </c>
      <c r="H14" s="0" t="n">
        <v>131.5</v>
      </c>
      <c r="I14" s="0" t="n">
        <v>-47.4</v>
      </c>
      <c r="J14" s="0" t="n">
        <v>-18</v>
      </c>
      <c r="K14" s="0" t="n">
        <v>0</v>
      </c>
      <c r="L14" s="0" t="n">
        <v>0</v>
      </c>
      <c r="M14" s="0" t="n">
        <v>0</v>
      </c>
      <c r="N14" s="0" t="n">
        <v>1</v>
      </c>
      <c r="O14" s="0" t="s">
        <v>401</v>
      </c>
      <c r="P14" s="0" t="s">
        <v>411</v>
      </c>
    </row>
    <row r="15" customFormat="false" ht="15" hidden="false" customHeight="false" outlineLevel="0" collapsed="false">
      <c r="A15" s="0" t="s">
        <v>311</v>
      </c>
      <c r="B15" s="0" t="s">
        <v>191</v>
      </c>
      <c r="C15" s="0" t="s">
        <v>243</v>
      </c>
      <c r="D15" s="0" t="s">
        <v>193</v>
      </c>
      <c r="E15" s="0" t="s">
        <v>400</v>
      </c>
      <c r="F15" s="0" t="n">
        <v>252.077</v>
      </c>
      <c r="G15" s="0" t="n">
        <v>204</v>
      </c>
      <c r="H15" s="0" t="n">
        <v>124.1</v>
      </c>
      <c r="I15" s="0" t="n">
        <v>-48.1</v>
      </c>
      <c r="J15" s="0" t="n">
        <v>-19.1</v>
      </c>
      <c r="K15" s="0" t="n">
        <v>0</v>
      </c>
      <c r="L15" s="0" t="n">
        <v>0</v>
      </c>
      <c r="M15" s="0" t="n">
        <v>0</v>
      </c>
      <c r="N15" s="0" t="n">
        <v>1</v>
      </c>
      <c r="O15" s="0" t="s">
        <v>401</v>
      </c>
      <c r="P15" s="0" t="s">
        <v>412</v>
      </c>
    </row>
    <row r="16" customFormat="false" ht="15" hidden="false" customHeight="false" outlineLevel="0" collapsed="false">
      <c r="A16" s="0" t="s">
        <v>310</v>
      </c>
      <c r="B16" s="0" t="s">
        <v>188</v>
      </c>
      <c r="C16" s="0" t="s">
        <v>241</v>
      </c>
      <c r="D16" s="0" t="s">
        <v>190</v>
      </c>
      <c r="E16" s="0" t="s">
        <v>400</v>
      </c>
      <c r="F16" s="0" t="n">
        <v>134.173</v>
      </c>
      <c r="G16" s="0" t="n">
        <v>135</v>
      </c>
      <c r="H16" s="0" t="n">
        <v>51.5</v>
      </c>
      <c r="I16" s="0" t="n">
        <v>0.8</v>
      </c>
      <c r="J16" s="0" t="n">
        <v>0.6</v>
      </c>
      <c r="K16" s="0" t="n">
        <v>1</v>
      </c>
      <c r="L16" s="0" t="n">
        <v>1</v>
      </c>
      <c r="M16" s="0" t="n">
        <v>0</v>
      </c>
      <c r="N16" s="0" t="n">
        <v>0</v>
      </c>
      <c r="O16" s="0" t="s">
        <v>401</v>
      </c>
      <c r="P16" s="0" t="s">
        <v>413</v>
      </c>
    </row>
    <row r="17" customFormat="false" ht="15" hidden="false" customHeight="false" outlineLevel="0" collapsed="false">
      <c r="A17" s="0" t="s">
        <v>319</v>
      </c>
      <c r="B17" s="0" t="s">
        <v>188</v>
      </c>
      <c r="C17" s="0" t="s">
        <v>261</v>
      </c>
      <c r="D17" s="0" t="s">
        <v>190</v>
      </c>
      <c r="E17" s="0" t="s">
        <v>400</v>
      </c>
      <c r="F17" s="0" t="n">
        <v>133.358</v>
      </c>
      <c r="G17" s="0" t="n">
        <v>134</v>
      </c>
      <c r="H17" s="0" t="n">
        <v>53.9</v>
      </c>
      <c r="I17" s="0" t="n">
        <v>0.6</v>
      </c>
      <c r="J17" s="0" t="n">
        <v>0.5</v>
      </c>
      <c r="K17" s="0" t="n">
        <v>1</v>
      </c>
      <c r="L17" s="0" t="n">
        <v>1</v>
      </c>
      <c r="M17" s="0" t="n">
        <v>0</v>
      </c>
      <c r="N17" s="0" t="n">
        <v>0</v>
      </c>
      <c r="O17" s="0" t="s">
        <v>401</v>
      </c>
      <c r="P17" s="0" t="s">
        <v>414</v>
      </c>
    </row>
    <row r="18" customFormat="false" ht="15" hidden="false" customHeight="false" outlineLevel="0" collapsed="false">
      <c r="A18" s="0" t="s">
        <v>306</v>
      </c>
      <c r="B18" s="0" t="s">
        <v>145</v>
      </c>
      <c r="C18" s="0" t="s">
        <v>233</v>
      </c>
      <c r="D18" s="0" t="s">
        <v>147</v>
      </c>
      <c r="E18" s="0" t="s">
        <v>400</v>
      </c>
      <c r="F18" s="0" t="n">
        <v>100.946</v>
      </c>
      <c r="G18" s="0" t="n">
        <v>96.5</v>
      </c>
      <c r="H18" s="0" t="n">
        <v>82.9</v>
      </c>
      <c r="I18" s="0" t="n">
        <v>-4.4</v>
      </c>
      <c r="J18" s="0" t="n">
        <v>-4.4</v>
      </c>
      <c r="K18" s="0" t="n">
        <v>1</v>
      </c>
      <c r="L18" s="0" t="n">
        <v>1</v>
      </c>
      <c r="M18" s="0" t="n">
        <v>0</v>
      </c>
      <c r="N18" s="0" t="n">
        <v>0</v>
      </c>
      <c r="O18" s="0" t="s">
        <v>401</v>
      </c>
      <c r="P18" s="0" t="s">
        <v>415</v>
      </c>
    </row>
    <row r="19" customFormat="false" ht="15" hidden="false" customHeight="false" outlineLevel="0" collapsed="false">
      <c r="A19" s="0" t="s">
        <v>307</v>
      </c>
      <c r="B19" s="0" t="s">
        <v>140</v>
      </c>
      <c r="C19" s="0" t="s">
        <v>235</v>
      </c>
      <c r="D19" s="0" t="s">
        <v>142</v>
      </c>
      <c r="E19" s="0" t="s">
        <v>400</v>
      </c>
      <c r="F19" s="0" t="n">
        <v>153.83</v>
      </c>
      <c r="G19" s="0" t="n">
        <v>144</v>
      </c>
      <c r="H19" s="0" t="n">
        <v>87.8</v>
      </c>
      <c r="I19" s="0" t="n">
        <v>-9.8</v>
      </c>
      <c r="J19" s="0" t="n">
        <v>-6.4</v>
      </c>
      <c r="K19" s="0" t="n">
        <v>1</v>
      </c>
      <c r="L19" s="0" t="n">
        <v>1</v>
      </c>
      <c r="M19" s="0" t="n">
        <v>0</v>
      </c>
      <c r="N19" s="0" t="n">
        <v>0</v>
      </c>
      <c r="O19" s="0" t="s">
        <v>401</v>
      </c>
      <c r="P19" s="0" t="s">
        <v>416</v>
      </c>
    </row>
    <row r="20" customFormat="false" ht="15" hidden="false" customHeight="false" outlineLevel="0" collapsed="false">
      <c r="A20" s="0" t="s">
        <v>308</v>
      </c>
      <c r="B20" s="0" t="s">
        <v>145</v>
      </c>
      <c r="C20" s="0" t="s">
        <v>237</v>
      </c>
      <c r="D20" s="0" t="s">
        <v>147</v>
      </c>
      <c r="E20" s="0" t="s">
        <v>400</v>
      </c>
      <c r="F20" s="0" t="n">
        <v>93.437</v>
      </c>
      <c r="G20" s="0" t="n">
        <v>89.1</v>
      </c>
      <c r="H20" s="0" t="n">
        <v>76.1</v>
      </c>
      <c r="I20" s="0" t="n">
        <v>-4.3</v>
      </c>
      <c r="J20" s="0" t="n">
        <v>-4.6</v>
      </c>
      <c r="K20" s="0" t="n">
        <v>1</v>
      </c>
      <c r="L20" s="0" t="n">
        <v>1</v>
      </c>
      <c r="M20" s="0" t="n">
        <v>0</v>
      </c>
      <c r="N20" s="0" t="n">
        <v>0</v>
      </c>
      <c r="O20" s="0" t="s">
        <v>401</v>
      </c>
      <c r="P20" s="0" t="s">
        <v>417</v>
      </c>
    </row>
    <row r="21" customFormat="false" ht="15" hidden="false" customHeight="false" outlineLevel="0" collapsed="false">
      <c r="A21" s="0" t="s">
        <v>302</v>
      </c>
      <c r="B21" s="0" t="s">
        <v>140</v>
      </c>
      <c r="C21" s="0" t="s">
        <v>229</v>
      </c>
      <c r="D21" s="0" t="s">
        <v>142</v>
      </c>
      <c r="E21" s="0" t="s">
        <v>418</v>
      </c>
      <c r="F21" s="0" t="n">
        <v>188.597</v>
      </c>
      <c r="G21" s="0" t="n">
        <v>195</v>
      </c>
      <c r="H21" s="0" t="n">
        <v>155.5</v>
      </c>
      <c r="I21" s="0" t="n">
        <v>6.4</v>
      </c>
      <c r="J21" s="0" t="n">
        <v>3.4</v>
      </c>
      <c r="K21" s="0" t="n">
        <v>0</v>
      </c>
      <c r="L21" s="0" t="n">
        <v>0</v>
      </c>
      <c r="M21" s="0" t="n">
        <v>0</v>
      </c>
      <c r="N21" s="0" t="n">
        <v>0</v>
      </c>
      <c r="O21" s="0" t="s">
        <v>401</v>
      </c>
      <c r="P21" s="0" t="s">
        <v>419</v>
      </c>
    </row>
    <row r="22" customFormat="false" ht="15" hidden="false" customHeight="false" outlineLevel="0" collapsed="false">
      <c r="A22" s="0" t="s">
        <v>302</v>
      </c>
      <c r="B22" s="0" t="s">
        <v>148</v>
      </c>
      <c r="C22" s="0" t="s">
        <v>229</v>
      </c>
      <c r="D22" s="0" t="s">
        <v>150</v>
      </c>
      <c r="E22" s="0" t="s">
        <v>418</v>
      </c>
      <c r="F22" s="0" t="n">
        <v>229.412</v>
      </c>
      <c r="G22" s="0" t="n">
        <v>230</v>
      </c>
      <c r="H22" s="0" t="n">
        <v>194.4</v>
      </c>
      <c r="I22" s="0" t="n">
        <v>0.6</v>
      </c>
      <c r="J22" s="0" t="n">
        <v>0.3</v>
      </c>
      <c r="K22" s="0" t="n">
        <v>0</v>
      </c>
      <c r="L22" s="0" t="n">
        <v>0</v>
      </c>
      <c r="M22" s="0" t="n">
        <v>0</v>
      </c>
      <c r="N22" s="0" t="n">
        <v>0</v>
      </c>
      <c r="O22" s="0" t="s">
        <v>401</v>
      </c>
      <c r="P22" s="0" t="s">
        <v>420</v>
      </c>
    </row>
    <row r="23" customFormat="false" ht="15" hidden="false" customHeight="false" outlineLevel="0" collapsed="false">
      <c r="A23" s="0" t="s">
        <v>302</v>
      </c>
      <c r="B23" s="0" t="s">
        <v>157</v>
      </c>
      <c r="C23" s="0" t="s">
        <v>229</v>
      </c>
      <c r="D23" s="0" t="s">
        <v>159</v>
      </c>
      <c r="E23" s="0" t="s">
        <v>418</v>
      </c>
      <c r="F23" s="0" t="n">
        <v>202.132</v>
      </c>
      <c r="G23" s="0" t="n">
        <v>203</v>
      </c>
      <c r="H23" s="0" t="n">
        <v>170.1</v>
      </c>
      <c r="I23" s="0" t="n">
        <v>0.9</v>
      </c>
      <c r="J23" s="0" t="n">
        <v>0.4</v>
      </c>
      <c r="K23" s="0" t="n">
        <v>0</v>
      </c>
      <c r="L23" s="0" t="n">
        <v>0</v>
      </c>
      <c r="M23" s="0" t="n">
        <v>0</v>
      </c>
      <c r="N23" s="0" t="n">
        <v>0</v>
      </c>
      <c r="O23" s="0" t="s">
        <v>401</v>
      </c>
      <c r="P23" s="0" t="s">
        <v>421</v>
      </c>
    </row>
    <row r="24" customFormat="false" ht="15" hidden="false" customHeight="false" outlineLevel="0" collapsed="false">
      <c r="A24" s="0" t="s">
        <v>302</v>
      </c>
      <c r="B24" s="0" t="s">
        <v>160</v>
      </c>
      <c r="C24" s="0" t="s">
        <v>229</v>
      </c>
      <c r="D24" s="0" t="s">
        <v>162</v>
      </c>
      <c r="E24" s="0" t="s">
        <v>418</v>
      </c>
      <c r="F24" s="0" t="n">
        <v>198.742</v>
      </c>
      <c r="G24" s="0" t="n">
        <v>200</v>
      </c>
      <c r="H24" s="0" t="n">
        <v>165.1</v>
      </c>
      <c r="I24" s="0" t="n">
        <v>1.3</v>
      </c>
      <c r="J24" s="0" t="n">
        <v>0.6</v>
      </c>
      <c r="K24" s="0" t="n">
        <v>0</v>
      </c>
      <c r="L24" s="0" t="n">
        <v>0</v>
      </c>
      <c r="M24" s="0" t="n">
        <v>0</v>
      </c>
      <c r="N24" s="0" t="n">
        <v>0</v>
      </c>
      <c r="O24" s="0" t="s">
        <v>401</v>
      </c>
      <c r="P24" s="0" t="s">
        <v>422</v>
      </c>
    </row>
    <row r="25" customFormat="false" ht="15" hidden="false" customHeight="false" outlineLevel="0" collapsed="false">
      <c r="A25" s="0" t="s">
        <v>302</v>
      </c>
      <c r="B25" s="0" t="s">
        <v>163</v>
      </c>
      <c r="C25" s="0" t="s">
        <v>229</v>
      </c>
      <c r="D25" s="0" t="s">
        <v>165</v>
      </c>
      <c r="E25" s="0" t="s">
        <v>418</v>
      </c>
      <c r="F25" s="0" t="n">
        <v>220.258</v>
      </c>
      <c r="G25" s="0" t="n">
        <v>222</v>
      </c>
      <c r="H25" s="0" t="n">
        <v>174.3</v>
      </c>
      <c r="I25" s="0" t="n">
        <v>1.7</v>
      </c>
      <c r="J25" s="0" t="n">
        <v>0.8</v>
      </c>
      <c r="K25" s="0" t="n">
        <v>0</v>
      </c>
      <c r="L25" s="0" t="n">
        <v>0</v>
      </c>
      <c r="M25" s="0" t="n">
        <v>0</v>
      </c>
      <c r="N25" s="0" t="n">
        <v>0</v>
      </c>
      <c r="O25" s="0" t="s">
        <v>401</v>
      </c>
      <c r="P25" s="0" t="s">
        <v>423</v>
      </c>
    </row>
    <row r="26" customFormat="false" ht="15" hidden="false" customHeight="false" outlineLevel="0" collapsed="false">
      <c r="A26" s="0" t="s">
        <v>302</v>
      </c>
      <c r="B26" s="0" t="s">
        <v>166</v>
      </c>
      <c r="C26" s="0" t="s">
        <v>229</v>
      </c>
      <c r="D26" s="0" t="s">
        <v>168</v>
      </c>
      <c r="E26" s="0" t="s">
        <v>418</v>
      </c>
      <c r="F26" s="0" t="n">
        <v>168.385</v>
      </c>
      <c r="G26" s="0" t="n">
        <v>170</v>
      </c>
      <c r="H26" s="0" t="n">
        <v>140.9</v>
      </c>
      <c r="I26" s="0" t="n">
        <v>1.6</v>
      </c>
      <c r="J26" s="0" t="n">
        <v>1</v>
      </c>
      <c r="K26" s="0" t="n">
        <v>1</v>
      </c>
      <c r="L26" s="0" t="n">
        <v>1</v>
      </c>
      <c r="M26" s="0" t="n">
        <v>0</v>
      </c>
      <c r="N26" s="0" t="n">
        <v>0</v>
      </c>
      <c r="O26" s="0" t="s">
        <v>401</v>
      </c>
      <c r="P26" s="0" t="s">
        <v>424</v>
      </c>
    </row>
    <row r="27" customFormat="false" ht="15" hidden="false" customHeight="false" outlineLevel="0" collapsed="false">
      <c r="A27" s="0" t="s">
        <v>302</v>
      </c>
      <c r="B27" s="0" t="s">
        <v>169</v>
      </c>
      <c r="C27" s="0" t="s">
        <v>229</v>
      </c>
      <c r="D27" s="0" t="s">
        <v>171</v>
      </c>
      <c r="E27" s="0" t="s">
        <v>418</v>
      </c>
      <c r="F27" s="0" t="n">
        <v>206.336</v>
      </c>
      <c r="G27" s="0" t="n">
        <v>206</v>
      </c>
      <c r="H27" s="0" t="n">
        <v>164.6</v>
      </c>
      <c r="I27" s="0" t="n">
        <v>-0.3</v>
      </c>
      <c r="J27" s="0" t="n">
        <v>-0.2</v>
      </c>
      <c r="K27" s="0" t="n">
        <v>0</v>
      </c>
      <c r="L27" s="0" t="n">
        <v>0</v>
      </c>
      <c r="M27" s="0" t="n">
        <v>0</v>
      </c>
      <c r="N27" s="0" t="n">
        <v>0</v>
      </c>
      <c r="O27" s="0" t="s">
        <v>401</v>
      </c>
      <c r="P27" s="0" t="s">
        <v>425</v>
      </c>
    </row>
    <row r="28" customFormat="false" ht="15" hidden="false" customHeight="false" outlineLevel="0" collapsed="false">
      <c r="A28" s="0" t="s">
        <v>302</v>
      </c>
      <c r="B28" s="0" t="s">
        <v>175</v>
      </c>
      <c r="C28" s="0" t="s">
        <v>229</v>
      </c>
      <c r="D28" s="0" t="s">
        <v>177</v>
      </c>
      <c r="E28" s="0" t="s">
        <v>418</v>
      </c>
      <c r="F28" s="0" t="n">
        <v>171.073</v>
      </c>
      <c r="G28" s="0" t="n">
        <v>172</v>
      </c>
      <c r="H28" s="0" t="n">
        <v>134.7</v>
      </c>
      <c r="I28" s="0" t="n">
        <v>0.9</v>
      </c>
      <c r="J28" s="0" t="n">
        <v>0.5</v>
      </c>
      <c r="K28" s="0" t="n">
        <v>1</v>
      </c>
      <c r="L28" s="0" t="n">
        <v>1</v>
      </c>
      <c r="M28" s="0" t="n">
        <v>0</v>
      </c>
      <c r="N28" s="0" t="n">
        <v>0</v>
      </c>
      <c r="O28" s="0" t="s">
        <v>401</v>
      </c>
      <c r="P28" s="0" t="s">
        <v>426</v>
      </c>
    </row>
    <row r="29" customFormat="false" ht="15" hidden="false" customHeight="false" outlineLevel="0" collapsed="false">
      <c r="A29" s="0" t="s">
        <v>302</v>
      </c>
      <c r="B29" s="0" t="s">
        <v>185</v>
      </c>
      <c r="C29" s="0" t="s">
        <v>229</v>
      </c>
      <c r="D29" s="0" t="s">
        <v>187</v>
      </c>
      <c r="E29" s="0" t="s">
        <v>418</v>
      </c>
      <c r="F29" s="0" t="n">
        <v>173.997</v>
      </c>
      <c r="G29" s="0" t="n">
        <v>178</v>
      </c>
      <c r="H29" s="0" t="n">
        <v>94.2</v>
      </c>
      <c r="I29" s="0" t="n">
        <v>4</v>
      </c>
      <c r="J29" s="0" t="n">
        <v>2.3</v>
      </c>
      <c r="K29" s="0" t="n">
        <v>1</v>
      </c>
      <c r="L29" s="0" t="n">
        <v>1</v>
      </c>
      <c r="M29" s="0" t="n">
        <v>0</v>
      </c>
      <c r="N29" s="0" t="n">
        <v>0</v>
      </c>
      <c r="O29" s="0" t="s">
        <v>401</v>
      </c>
      <c r="P29" s="0" t="s">
        <v>427</v>
      </c>
    </row>
    <row r="30" customFormat="false" ht="15" hidden="false" customHeight="false" outlineLevel="0" collapsed="false">
      <c r="A30" s="0" t="s">
        <v>302</v>
      </c>
      <c r="B30" s="0" t="s">
        <v>188</v>
      </c>
      <c r="C30" s="0" t="s">
        <v>229</v>
      </c>
      <c r="D30" s="0" t="s">
        <v>190</v>
      </c>
      <c r="E30" s="0" t="s">
        <v>418</v>
      </c>
      <c r="F30" s="0" t="n">
        <v>190.347</v>
      </c>
      <c r="G30" s="0" t="n">
        <v>192</v>
      </c>
      <c r="H30" s="0" t="n">
        <v>89.3</v>
      </c>
      <c r="I30" s="0" t="n">
        <v>1.7</v>
      </c>
      <c r="J30" s="0" t="n">
        <v>0.9</v>
      </c>
      <c r="K30" s="0" t="n">
        <v>0</v>
      </c>
      <c r="L30" s="0" t="n">
        <v>0</v>
      </c>
      <c r="M30" s="0" t="n">
        <v>0</v>
      </c>
      <c r="N30" s="0" t="n">
        <v>0</v>
      </c>
      <c r="O30" s="0" t="s">
        <v>401</v>
      </c>
      <c r="P30" s="0" t="s">
        <v>428</v>
      </c>
    </row>
    <row r="31" customFormat="false" ht="15" hidden="false" customHeight="false" outlineLevel="0" collapsed="false">
      <c r="A31" s="0" t="s">
        <v>306</v>
      </c>
      <c r="B31" s="0" t="s">
        <v>151</v>
      </c>
      <c r="C31" s="0" t="s">
        <v>233</v>
      </c>
      <c r="D31" s="0" t="s">
        <v>153</v>
      </c>
      <c r="E31" s="0" t="s">
        <v>418</v>
      </c>
      <c r="F31" s="0" t="n">
        <v>189.334</v>
      </c>
      <c r="G31" s="0" t="n">
        <v>185</v>
      </c>
      <c r="H31" s="0" t="n">
        <v>161.9</v>
      </c>
      <c r="I31" s="0" t="n">
        <v>-4.3</v>
      </c>
      <c r="J31" s="0" t="n">
        <v>-2.3</v>
      </c>
      <c r="K31" s="0" t="n">
        <v>0</v>
      </c>
      <c r="L31" s="0" t="n">
        <v>0</v>
      </c>
      <c r="M31" s="0" t="n">
        <v>0</v>
      </c>
      <c r="N31" s="0" t="n">
        <v>0</v>
      </c>
      <c r="O31" s="0" t="s">
        <v>401</v>
      </c>
      <c r="P31" s="0" t="s">
        <v>429</v>
      </c>
    </row>
    <row r="32" customFormat="false" ht="15" hidden="false" customHeight="false" outlineLevel="0" collapsed="false">
      <c r="A32" s="0" t="s">
        <v>306</v>
      </c>
      <c r="B32" s="0" t="s">
        <v>195</v>
      </c>
      <c r="C32" s="0" t="s">
        <v>233</v>
      </c>
      <c r="D32" s="0" t="s">
        <v>197</v>
      </c>
      <c r="E32" s="0" t="s">
        <v>418</v>
      </c>
      <c r="F32" s="0" t="n">
        <v>172.704</v>
      </c>
      <c r="G32" s="0" t="n">
        <v>169</v>
      </c>
      <c r="H32" s="0" t="n">
        <v>141.5</v>
      </c>
      <c r="I32" s="0" t="n">
        <v>-3.7</v>
      </c>
      <c r="J32" s="0" t="n">
        <v>-2.1</v>
      </c>
      <c r="K32" s="0" t="n">
        <v>1</v>
      </c>
      <c r="L32" s="0" t="n">
        <v>1</v>
      </c>
      <c r="M32" s="0" t="n">
        <v>0</v>
      </c>
      <c r="N32" s="0" t="n">
        <v>0</v>
      </c>
      <c r="O32" s="0" t="s">
        <v>401</v>
      </c>
      <c r="P32" s="0" t="s">
        <v>430</v>
      </c>
    </row>
    <row r="33" customFormat="false" ht="15" hidden="false" customHeight="false" outlineLevel="0" collapsed="false">
      <c r="A33" s="0" t="s">
        <v>307</v>
      </c>
      <c r="B33" s="0" t="s">
        <v>151</v>
      </c>
      <c r="C33" s="0" t="s">
        <v>235</v>
      </c>
      <c r="D33" s="0" t="s">
        <v>153</v>
      </c>
      <c r="E33" s="0" t="s">
        <v>418</v>
      </c>
      <c r="F33" s="0" t="n">
        <v>223.49</v>
      </c>
      <c r="G33" s="0" t="n">
        <v>225</v>
      </c>
      <c r="H33" s="0" t="n">
        <v>154.2</v>
      </c>
      <c r="I33" s="0" t="n">
        <v>1.5</v>
      </c>
      <c r="J33" s="0" t="n">
        <v>0.7</v>
      </c>
      <c r="K33" s="0" t="n">
        <v>0</v>
      </c>
      <c r="L33" s="0" t="n">
        <v>0</v>
      </c>
      <c r="M33" s="0" t="n">
        <v>0</v>
      </c>
      <c r="N33" s="0" t="n">
        <v>0</v>
      </c>
      <c r="O33" s="0" t="s">
        <v>401</v>
      </c>
      <c r="P33" s="0" t="s">
        <v>431</v>
      </c>
    </row>
    <row r="34" customFormat="false" ht="15" hidden="false" customHeight="false" outlineLevel="0" collapsed="false">
      <c r="A34" s="0" t="s">
        <v>307</v>
      </c>
      <c r="B34" s="0" t="s">
        <v>169</v>
      </c>
      <c r="C34" s="0" t="s">
        <v>235</v>
      </c>
      <c r="D34" s="0" t="s">
        <v>171</v>
      </c>
      <c r="E34" s="0" t="s">
        <v>418</v>
      </c>
      <c r="F34" s="0" t="n">
        <v>171.568</v>
      </c>
      <c r="G34" s="0" t="n">
        <v>155</v>
      </c>
      <c r="H34" s="0" t="n">
        <v>99.3</v>
      </c>
      <c r="I34" s="0" t="n">
        <v>-16.6</v>
      </c>
      <c r="J34" s="0" t="n">
        <v>-9.7</v>
      </c>
      <c r="K34" s="0" t="n">
        <v>1</v>
      </c>
      <c r="L34" s="0" t="n">
        <v>1</v>
      </c>
      <c r="M34" s="0" t="n">
        <v>0</v>
      </c>
      <c r="N34" s="0" t="n">
        <v>0</v>
      </c>
      <c r="O34" s="0" t="s">
        <v>401</v>
      </c>
      <c r="P34" s="0" t="s">
        <v>432</v>
      </c>
    </row>
    <row r="35" customFormat="false" ht="15" hidden="false" customHeight="false" outlineLevel="0" collapsed="false">
      <c r="A35" s="0" t="s">
        <v>307</v>
      </c>
      <c r="B35" s="0" t="s">
        <v>195</v>
      </c>
      <c r="C35" s="0" t="s">
        <v>235</v>
      </c>
      <c r="D35" s="0" t="s">
        <v>197</v>
      </c>
      <c r="E35" s="0" t="s">
        <v>418</v>
      </c>
      <c r="F35" s="0" t="n">
        <v>206.86</v>
      </c>
      <c r="G35" s="0" t="n">
        <v>208</v>
      </c>
      <c r="H35" s="0" t="n">
        <v>150.2</v>
      </c>
      <c r="I35" s="0" t="n">
        <v>1.1</v>
      </c>
      <c r="J35" s="0" t="n">
        <v>0.6</v>
      </c>
      <c r="K35" s="0" t="n">
        <v>0</v>
      </c>
      <c r="L35" s="0" t="n">
        <v>0</v>
      </c>
      <c r="M35" s="0" t="n">
        <v>0</v>
      </c>
      <c r="N35" s="0" t="n">
        <v>0</v>
      </c>
      <c r="O35" s="0" t="s">
        <v>401</v>
      </c>
      <c r="P35" s="0" t="s">
        <v>433</v>
      </c>
    </row>
    <row r="36" customFormat="false" ht="15" hidden="false" customHeight="false" outlineLevel="0" collapsed="false">
      <c r="A36" s="0" t="s">
        <v>308</v>
      </c>
      <c r="B36" s="0" t="s">
        <v>140</v>
      </c>
      <c r="C36" s="0" t="s">
        <v>237</v>
      </c>
      <c r="D36" s="0" t="s">
        <v>142</v>
      </c>
      <c r="E36" s="0" t="s">
        <v>418</v>
      </c>
      <c r="F36" s="0" t="n">
        <v>164.851</v>
      </c>
      <c r="G36" s="0" t="n">
        <v>167</v>
      </c>
      <c r="H36" s="0" t="n">
        <v>131</v>
      </c>
      <c r="I36" s="0" t="n">
        <v>2.1</v>
      </c>
      <c r="J36" s="0" t="n">
        <v>1.3</v>
      </c>
      <c r="K36" s="0" t="n">
        <v>1</v>
      </c>
      <c r="L36" s="0" t="n">
        <v>1</v>
      </c>
      <c r="M36" s="0" t="n">
        <v>0</v>
      </c>
      <c r="N36" s="0" t="n">
        <v>0</v>
      </c>
      <c r="O36" s="0" t="s">
        <v>401</v>
      </c>
      <c r="P36" s="0" t="s">
        <v>434</v>
      </c>
    </row>
    <row r="37" customFormat="false" ht="15" hidden="false" customHeight="false" outlineLevel="0" collapsed="false">
      <c r="A37" s="0" t="s">
        <v>308</v>
      </c>
      <c r="B37" s="0" t="s">
        <v>148</v>
      </c>
      <c r="C37" s="0" t="s">
        <v>237</v>
      </c>
      <c r="D37" s="0" t="s">
        <v>150</v>
      </c>
      <c r="E37" s="0" t="s">
        <v>418</v>
      </c>
      <c r="F37" s="0" t="n">
        <v>205.665</v>
      </c>
      <c r="G37" s="0" t="n">
        <v>202</v>
      </c>
      <c r="H37" s="0" t="n">
        <v>170.9</v>
      </c>
      <c r="I37" s="0" t="n">
        <v>-3.7</v>
      </c>
      <c r="J37" s="0" t="n">
        <v>-1.8</v>
      </c>
      <c r="K37" s="0" t="n">
        <v>0</v>
      </c>
      <c r="L37" s="0" t="n">
        <v>0</v>
      </c>
      <c r="M37" s="0" t="n">
        <v>0</v>
      </c>
      <c r="N37" s="0" t="n">
        <v>0</v>
      </c>
      <c r="O37" s="0" t="s">
        <v>401</v>
      </c>
      <c r="P37" s="0" t="s">
        <v>435</v>
      </c>
    </row>
    <row r="38" customFormat="false" ht="15" hidden="false" customHeight="false" outlineLevel="0" collapsed="false">
      <c r="A38" s="0" t="s">
        <v>308</v>
      </c>
      <c r="B38" s="0" t="s">
        <v>157</v>
      </c>
      <c r="C38" s="0" t="s">
        <v>237</v>
      </c>
      <c r="D38" s="0" t="s">
        <v>159</v>
      </c>
      <c r="E38" s="0" t="s">
        <v>418</v>
      </c>
      <c r="F38" s="0" t="n">
        <v>178.385</v>
      </c>
      <c r="G38" s="0" t="n">
        <v>174</v>
      </c>
      <c r="H38" s="0" t="n">
        <v>145.5</v>
      </c>
      <c r="I38" s="0" t="n">
        <v>-4.4</v>
      </c>
      <c r="J38" s="0" t="n">
        <v>-2.5</v>
      </c>
      <c r="K38" s="0" t="n">
        <v>1</v>
      </c>
      <c r="L38" s="0" t="n">
        <v>1</v>
      </c>
      <c r="M38" s="0" t="n">
        <v>0</v>
      </c>
      <c r="N38" s="0" t="n">
        <v>0</v>
      </c>
      <c r="O38" s="0" t="s">
        <v>401</v>
      </c>
      <c r="P38" s="0" t="s">
        <v>436</v>
      </c>
    </row>
    <row r="39" customFormat="false" ht="15" hidden="false" customHeight="false" outlineLevel="0" collapsed="false">
      <c r="A39" s="0" t="s">
        <v>308</v>
      </c>
      <c r="B39" s="0" t="s">
        <v>160</v>
      </c>
      <c r="C39" s="0" t="s">
        <v>237</v>
      </c>
      <c r="D39" s="0" t="s">
        <v>162</v>
      </c>
      <c r="E39" s="0" t="s">
        <v>418</v>
      </c>
      <c r="F39" s="0" t="n">
        <v>174.995</v>
      </c>
      <c r="G39" s="0" t="n">
        <v>171</v>
      </c>
      <c r="H39" s="0" t="n">
        <v>143.2</v>
      </c>
      <c r="I39" s="0" t="n">
        <v>-4</v>
      </c>
      <c r="J39" s="0" t="n">
        <v>-2.3</v>
      </c>
      <c r="K39" s="0" t="n">
        <v>1</v>
      </c>
      <c r="L39" s="0" t="n">
        <v>1</v>
      </c>
      <c r="M39" s="0" t="n">
        <v>0</v>
      </c>
      <c r="N39" s="0" t="n">
        <v>0</v>
      </c>
      <c r="O39" s="0" t="s">
        <v>401</v>
      </c>
      <c r="P39" s="0" t="s">
        <v>437</v>
      </c>
    </row>
    <row r="40" customFormat="false" ht="15" hidden="false" customHeight="false" outlineLevel="0" collapsed="false">
      <c r="A40" s="0" t="s">
        <v>308</v>
      </c>
      <c r="B40" s="0" t="s">
        <v>163</v>
      </c>
      <c r="C40" s="0" t="s">
        <v>237</v>
      </c>
      <c r="D40" s="0" t="s">
        <v>165</v>
      </c>
      <c r="E40" s="0" t="s">
        <v>418</v>
      </c>
      <c r="F40" s="0" t="n">
        <v>196.511</v>
      </c>
      <c r="G40" s="0" t="n">
        <v>193</v>
      </c>
      <c r="H40" s="0" t="n">
        <v>148.1</v>
      </c>
      <c r="I40" s="0" t="n">
        <v>-3.5</v>
      </c>
      <c r="J40" s="0" t="n">
        <v>-1.8</v>
      </c>
      <c r="K40" s="0" t="n">
        <v>0</v>
      </c>
      <c r="L40" s="0" t="n">
        <v>0</v>
      </c>
      <c r="M40" s="0" t="n">
        <v>0</v>
      </c>
      <c r="N40" s="0" t="n">
        <v>0</v>
      </c>
      <c r="O40" s="0" t="s">
        <v>401</v>
      </c>
      <c r="P40" s="0" t="s">
        <v>438</v>
      </c>
    </row>
    <row r="41" customFormat="false" ht="15" hidden="false" customHeight="false" outlineLevel="0" collapsed="false">
      <c r="A41" s="36" t="s">
        <v>308</v>
      </c>
      <c r="B41" s="36" t="s">
        <v>169</v>
      </c>
      <c r="C41" s="36" t="s">
        <v>237</v>
      </c>
      <c r="D41" s="36" t="s">
        <v>171</v>
      </c>
      <c r="E41" s="36" t="s">
        <v>418</v>
      </c>
      <c r="F41" s="36" t="n">
        <v>182.589</v>
      </c>
      <c r="G41" s="36" t="n">
        <v>178</v>
      </c>
      <c r="H41" s="36" t="n">
        <v>138.8</v>
      </c>
      <c r="I41" s="36" t="n">
        <v>-4.6</v>
      </c>
      <c r="J41" s="36" t="n">
        <v>-2.5</v>
      </c>
      <c r="K41" s="36" t="n">
        <v>0</v>
      </c>
      <c r="L41" s="36" t="n">
        <v>1</v>
      </c>
      <c r="M41" s="36" t="n">
        <v>1</v>
      </c>
      <c r="N41" s="36" t="n">
        <v>0</v>
      </c>
      <c r="O41" s="36" t="s">
        <v>401</v>
      </c>
      <c r="P41" s="36" t="s">
        <v>439</v>
      </c>
    </row>
    <row r="42" customFormat="false" ht="15" hidden="false" customHeight="false" outlineLevel="0" collapsed="false">
      <c r="A42" s="0" t="s">
        <v>308</v>
      </c>
      <c r="B42" s="0" t="s">
        <v>185</v>
      </c>
      <c r="C42" s="0" t="s">
        <v>237</v>
      </c>
      <c r="D42" s="0" t="s">
        <v>187</v>
      </c>
      <c r="E42" s="0" t="s">
        <v>418</v>
      </c>
      <c r="F42" s="0" t="n">
        <v>218.132</v>
      </c>
      <c r="G42" s="0" t="n">
        <v>220</v>
      </c>
      <c r="H42" s="0" t="n">
        <v>122</v>
      </c>
      <c r="I42" s="0" t="n">
        <v>1.9</v>
      </c>
      <c r="J42" s="0" t="n">
        <v>0.9</v>
      </c>
      <c r="K42" s="0" t="n">
        <v>0</v>
      </c>
      <c r="L42" s="0" t="n">
        <v>0</v>
      </c>
      <c r="M42" s="0" t="n">
        <v>0</v>
      </c>
      <c r="N42" s="0" t="n">
        <v>0</v>
      </c>
      <c r="O42" s="0" t="s">
        <v>401</v>
      </c>
      <c r="P42" s="0" t="s">
        <v>440</v>
      </c>
    </row>
    <row r="43" customFormat="false" ht="15" hidden="false" customHeight="false" outlineLevel="0" collapsed="false">
      <c r="A43" s="0" t="s">
        <v>309</v>
      </c>
      <c r="B43" s="0" t="s">
        <v>140</v>
      </c>
      <c r="C43" s="0" t="s">
        <v>239</v>
      </c>
      <c r="D43" s="0" t="s">
        <v>142</v>
      </c>
      <c r="E43" s="0" t="s">
        <v>418</v>
      </c>
      <c r="F43" s="0" t="n">
        <v>192.26</v>
      </c>
      <c r="G43" s="0" t="n">
        <v>199</v>
      </c>
      <c r="H43" s="0" t="n">
        <v>160.4</v>
      </c>
      <c r="I43" s="0" t="n">
        <v>6.7</v>
      </c>
      <c r="J43" s="0" t="n">
        <v>3.5</v>
      </c>
      <c r="K43" s="0" t="n">
        <v>0</v>
      </c>
      <c r="L43" s="0" t="n">
        <v>0</v>
      </c>
      <c r="M43" s="0" t="n">
        <v>0</v>
      </c>
      <c r="N43" s="0" t="n">
        <v>0</v>
      </c>
      <c r="O43" s="0" t="s">
        <v>401</v>
      </c>
      <c r="P43" s="0" t="s">
        <v>441</v>
      </c>
    </row>
    <row r="44" customFormat="false" ht="15" hidden="false" customHeight="false" outlineLevel="0" collapsed="false">
      <c r="A44" s="0" t="s">
        <v>309</v>
      </c>
      <c r="B44" s="0" t="s">
        <v>157</v>
      </c>
      <c r="C44" s="0" t="s">
        <v>239</v>
      </c>
      <c r="D44" s="0" t="s">
        <v>159</v>
      </c>
      <c r="E44" s="0" t="s">
        <v>418</v>
      </c>
      <c r="F44" s="0" t="n">
        <v>205.794</v>
      </c>
      <c r="G44" s="0" t="n">
        <v>207</v>
      </c>
      <c r="H44" s="0" t="n">
        <v>175</v>
      </c>
      <c r="I44" s="0" t="n">
        <v>1.2</v>
      </c>
      <c r="J44" s="0" t="n">
        <v>0.6</v>
      </c>
      <c r="K44" s="0" t="n">
        <v>0</v>
      </c>
      <c r="L44" s="0" t="n">
        <v>0</v>
      </c>
      <c r="M44" s="0" t="n">
        <v>0</v>
      </c>
      <c r="N44" s="0" t="n">
        <v>0</v>
      </c>
      <c r="O44" s="0" t="s">
        <v>401</v>
      </c>
      <c r="P44" s="0" t="s">
        <v>442</v>
      </c>
    </row>
    <row r="45" customFormat="false" ht="15" hidden="false" customHeight="false" outlineLevel="0" collapsed="false">
      <c r="A45" s="0" t="s">
        <v>309</v>
      </c>
      <c r="B45" s="0" t="s">
        <v>160</v>
      </c>
      <c r="C45" s="0" t="s">
        <v>239</v>
      </c>
      <c r="D45" s="0" t="s">
        <v>162</v>
      </c>
      <c r="E45" s="0" t="s">
        <v>418</v>
      </c>
      <c r="F45" s="0" t="n">
        <v>202.405</v>
      </c>
      <c r="G45" s="0" t="n">
        <v>203</v>
      </c>
      <c r="H45" s="0" t="n">
        <v>170.4</v>
      </c>
      <c r="I45" s="0" t="n">
        <v>0.6</v>
      </c>
      <c r="J45" s="0" t="n">
        <v>0.3</v>
      </c>
      <c r="K45" s="0" t="n">
        <v>0</v>
      </c>
      <c r="L45" s="0" t="n">
        <v>0</v>
      </c>
      <c r="M45" s="0" t="n">
        <v>0</v>
      </c>
      <c r="N45" s="0" t="n">
        <v>0</v>
      </c>
      <c r="O45" s="0" t="s">
        <v>401</v>
      </c>
      <c r="P45" s="0" t="s">
        <v>443</v>
      </c>
    </row>
    <row r="46" customFormat="false" ht="15" hidden="false" customHeight="false" outlineLevel="0" collapsed="false">
      <c r="A46" s="0" t="s">
        <v>309</v>
      </c>
      <c r="B46" s="0" t="s">
        <v>163</v>
      </c>
      <c r="C46" s="0" t="s">
        <v>239</v>
      </c>
      <c r="D46" s="0" t="s">
        <v>165</v>
      </c>
      <c r="E46" s="0" t="s">
        <v>418</v>
      </c>
      <c r="F46" s="0" t="n">
        <v>223.92</v>
      </c>
      <c r="G46" s="0" t="n">
        <v>226</v>
      </c>
      <c r="H46" s="0" t="n">
        <v>178.9</v>
      </c>
      <c r="I46" s="0" t="n">
        <v>2.1</v>
      </c>
      <c r="J46" s="0" t="n">
        <v>0.9</v>
      </c>
      <c r="K46" s="0" t="n">
        <v>0</v>
      </c>
      <c r="L46" s="0" t="n">
        <v>0</v>
      </c>
      <c r="M46" s="0" t="n">
        <v>0</v>
      </c>
      <c r="N46" s="0" t="n">
        <v>0</v>
      </c>
      <c r="O46" s="0" t="s">
        <v>401</v>
      </c>
      <c r="P46" s="0" t="s">
        <v>444</v>
      </c>
    </row>
    <row r="47" customFormat="false" ht="15" hidden="false" customHeight="false" outlineLevel="0" collapsed="false">
      <c r="A47" s="0" t="s">
        <v>309</v>
      </c>
      <c r="B47" s="0" t="s">
        <v>166</v>
      </c>
      <c r="C47" s="0" t="s">
        <v>239</v>
      </c>
      <c r="D47" s="0" t="s">
        <v>168</v>
      </c>
      <c r="E47" s="0" t="s">
        <v>418</v>
      </c>
      <c r="F47" s="0" t="n">
        <v>172.048</v>
      </c>
      <c r="G47" s="0" t="n">
        <v>174</v>
      </c>
      <c r="H47" s="0" t="n">
        <v>146</v>
      </c>
      <c r="I47" s="0" t="n">
        <v>2</v>
      </c>
      <c r="J47" s="0" t="n">
        <v>1.1</v>
      </c>
      <c r="K47" s="0" t="n">
        <v>1</v>
      </c>
      <c r="L47" s="0" t="n">
        <v>1</v>
      </c>
      <c r="M47" s="0" t="n">
        <v>0</v>
      </c>
      <c r="N47" s="0" t="n">
        <v>0</v>
      </c>
      <c r="O47" s="0" t="s">
        <v>401</v>
      </c>
      <c r="P47" s="0" t="s">
        <v>445</v>
      </c>
    </row>
    <row r="48" customFormat="false" ht="15" hidden="false" customHeight="false" outlineLevel="0" collapsed="false">
      <c r="A48" s="0" t="s">
        <v>309</v>
      </c>
      <c r="B48" s="0" t="s">
        <v>169</v>
      </c>
      <c r="C48" s="0" t="s">
        <v>239</v>
      </c>
      <c r="D48" s="0" t="s">
        <v>171</v>
      </c>
      <c r="E48" s="0" t="s">
        <v>418</v>
      </c>
      <c r="F48" s="0" t="n">
        <v>209.998</v>
      </c>
      <c r="G48" s="0" t="n">
        <v>210</v>
      </c>
      <c r="H48" s="0" t="n">
        <v>169.2</v>
      </c>
      <c r="I48" s="0" t="n">
        <v>0</v>
      </c>
      <c r="J48" s="0" t="n">
        <v>0</v>
      </c>
      <c r="K48" s="0" t="n">
        <v>0</v>
      </c>
      <c r="L48" s="0" t="n">
        <v>0</v>
      </c>
      <c r="M48" s="0" t="n">
        <v>0</v>
      </c>
      <c r="N48" s="0" t="n">
        <v>0</v>
      </c>
      <c r="O48" s="0" t="s">
        <v>401</v>
      </c>
      <c r="P48" s="0" t="s">
        <v>446</v>
      </c>
    </row>
    <row r="49" customFormat="false" ht="15" hidden="false" customHeight="false" outlineLevel="0" collapsed="false">
      <c r="A49" s="0" t="s">
        <v>309</v>
      </c>
      <c r="B49" s="0" t="s">
        <v>172</v>
      </c>
      <c r="C49" s="0" t="s">
        <v>239</v>
      </c>
      <c r="D49" s="0" t="s">
        <v>174</v>
      </c>
      <c r="E49" s="0" t="s">
        <v>418</v>
      </c>
      <c r="F49" s="0" t="n">
        <v>163.022</v>
      </c>
      <c r="G49" s="0" t="n">
        <v>164</v>
      </c>
      <c r="H49" s="0" t="n">
        <v>139.5</v>
      </c>
      <c r="I49" s="0" t="n">
        <v>1</v>
      </c>
      <c r="J49" s="0" t="n">
        <v>0.6</v>
      </c>
      <c r="K49" s="0" t="n">
        <v>1</v>
      </c>
      <c r="L49" s="0" t="n">
        <v>1</v>
      </c>
      <c r="M49" s="0" t="n">
        <v>0</v>
      </c>
      <c r="N49" s="0" t="n">
        <v>0</v>
      </c>
      <c r="O49" s="0" t="s">
        <v>401</v>
      </c>
      <c r="P49" s="0" t="s">
        <v>447</v>
      </c>
    </row>
    <row r="50" customFormat="false" ht="15" hidden="false" customHeight="false" outlineLevel="0" collapsed="false">
      <c r="A50" s="0" t="s">
        <v>309</v>
      </c>
      <c r="B50" s="0" t="s">
        <v>175</v>
      </c>
      <c r="C50" s="0" t="s">
        <v>239</v>
      </c>
      <c r="D50" s="0" t="s">
        <v>177</v>
      </c>
      <c r="E50" s="0" t="s">
        <v>418</v>
      </c>
      <c r="F50" s="0" t="n">
        <v>174.735</v>
      </c>
      <c r="G50" s="0" t="n">
        <v>175</v>
      </c>
      <c r="H50" s="0" t="n">
        <v>139.7</v>
      </c>
      <c r="I50" s="0" t="n">
        <v>0.3</v>
      </c>
      <c r="J50" s="0" t="n">
        <v>0.2</v>
      </c>
      <c r="K50" s="0" t="n">
        <v>1</v>
      </c>
      <c r="L50" s="0" t="n">
        <v>1</v>
      </c>
      <c r="M50" s="0" t="n">
        <v>0</v>
      </c>
      <c r="N50" s="0" t="n">
        <v>0</v>
      </c>
      <c r="O50" s="0" t="s">
        <v>401</v>
      </c>
      <c r="P50" s="0" t="s">
        <v>448</v>
      </c>
    </row>
    <row r="51" customFormat="false" ht="15" hidden="false" customHeight="false" outlineLevel="0" collapsed="false">
      <c r="A51" s="0" t="s">
        <v>309</v>
      </c>
      <c r="B51" s="0" t="s">
        <v>185</v>
      </c>
      <c r="C51" s="0" t="s">
        <v>239</v>
      </c>
      <c r="D51" s="0" t="s">
        <v>187</v>
      </c>
      <c r="E51" s="0" t="s">
        <v>418</v>
      </c>
      <c r="F51" s="0" t="n">
        <v>167.508</v>
      </c>
      <c r="G51" s="0" t="n">
        <v>171</v>
      </c>
      <c r="H51" s="0" t="n">
        <v>89.8</v>
      </c>
      <c r="I51" s="0" t="n">
        <v>3.5</v>
      </c>
      <c r="J51" s="0" t="n">
        <v>2.1</v>
      </c>
      <c r="K51" s="0" t="n">
        <v>1</v>
      </c>
      <c r="L51" s="0" t="n">
        <v>1</v>
      </c>
      <c r="M51" s="0" t="n">
        <v>0</v>
      </c>
      <c r="N51" s="0" t="n">
        <v>0</v>
      </c>
      <c r="O51" s="0" t="s">
        <v>401</v>
      </c>
      <c r="P51" s="0" t="s">
        <v>449</v>
      </c>
    </row>
    <row r="52" customFormat="false" ht="15" hidden="false" customHeight="false" outlineLevel="0" collapsed="false">
      <c r="A52" s="0" t="s">
        <v>309</v>
      </c>
      <c r="B52" s="0" t="s">
        <v>188</v>
      </c>
      <c r="C52" s="0" t="s">
        <v>239</v>
      </c>
      <c r="D52" s="0" t="s">
        <v>190</v>
      </c>
      <c r="E52" s="0" t="s">
        <v>418</v>
      </c>
      <c r="F52" s="0" t="n">
        <v>183.858</v>
      </c>
      <c r="G52" s="0" t="n">
        <v>185</v>
      </c>
      <c r="H52" s="0" t="n">
        <v>83.6</v>
      </c>
      <c r="I52" s="0" t="n">
        <v>1.1</v>
      </c>
      <c r="J52" s="0" t="n">
        <v>0.6</v>
      </c>
      <c r="K52" s="0" t="n">
        <v>0</v>
      </c>
      <c r="L52" s="0" t="n">
        <v>0</v>
      </c>
      <c r="M52" s="0" t="n">
        <v>0</v>
      </c>
      <c r="N52" s="0" t="n">
        <v>0</v>
      </c>
      <c r="O52" s="0" t="s">
        <v>401</v>
      </c>
      <c r="P52" s="0" t="s">
        <v>450</v>
      </c>
    </row>
    <row r="53" customFormat="false" ht="15" hidden="false" customHeight="false" outlineLevel="0" collapsed="false">
      <c r="A53" s="0" t="s">
        <v>310</v>
      </c>
      <c r="B53" s="0" t="s">
        <v>145</v>
      </c>
      <c r="C53" s="0" t="s">
        <v>241</v>
      </c>
      <c r="D53" s="0" t="s">
        <v>147</v>
      </c>
      <c r="E53" s="0" t="s">
        <v>418</v>
      </c>
      <c r="F53" s="0" t="n">
        <v>170.571</v>
      </c>
      <c r="G53" s="0" t="n">
        <v>171</v>
      </c>
      <c r="H53" s="0" t="n">
        <v>133.5</v>
      </c>
      <c r="I53" s="0" t="n">
        <v>0.4</v>
      </c>
      <c r="J53" s="0" t="n">
        <v>0.3</v>
      </c>
      <c r="K53" s="0" t="n">
        <v>1</v>
      </c>
      <c r="L53" s="0" t="n">
        <v>1</v>
      </c>
      <c r="M53" s="0" t="n">
        <v>0</v>
      </c>
      <c r="N53" s="0" t="n">
        <v>0</v>
      </c>
      <c r="O53" s="0" t="s">
        <v>401</v>
      </c>
      <c r="P53" s="0" t="s">
        <v>451</v>
      </c>
    </row>
    <row r="54" customFormat="false" ht="15" hidden="false" customHeight="false" outlineLevel="0" collapsed="false">
      <c r="A54" s="0" t="s">
        <v>310</v>
      </c>
      <c r="B54" s="0" t="s">
        <v>154</v>
      </c>
      <c r="C54" s="0" t="s">
        <v>241</v>
      </c>
      <c r="D54" s="0" t="s">
        <v>156</v>
      </c>
      <c r="E54" s="0" t="s">
        <v>418</v>
      </c>
      <c r="F54" s="0" t="n">
        <v>195.299</v>
      </c>
      <c r="G54" s="0" t="n">
        <v>196</v>
      </c>
      <c r="H54" s="0" t="n">
        <v>156.8</v>
      </c>
      <c r="I54" s="0" t="n">
        <v>0.7</v>
      </c>
      <c r="J54" s="0" t="n">
        <v>0.4</v>
      </c>
      <c r="K54" s="0" t="n">
        <v>0</v>
      </c>
      <c r="L54" s="0" t="n">
        <v>0</v>
      </c>
      <c r="M54" s="0" t="n">
        <v>0</v>
      </c>
      <c r="N54" s="0" t="n">
        <v>0</v>
      </c>
      <c r="O54" s="0" t="s">
        <v>401</v>
      </c>
      <c r="P54" s="0" t="s">
        <v>452</v>
      </c>
    </row>
    <row r="55" customFormat="false" ht="15" hidden="false" customHeight="false" outlineLevel="0" collapsed="false">
      <c r="A55" s="0" t="s">
        <v>310</v>
      </c>
      <c r="B55" s="0" t="s">
        <v>166</v>
      </c>
      <c r="C55" s="0" t="s">
        <v>241</v>
      </c>
      <c r="D55" s="0" t="s">
        <v>168</v>
      </c>
      <c r="E55" s="0" t="s">
        <v>418</v>
      </c>
      <c r="F55" s="0" t="n">
        <v>221.772</v>
      </c>
      <c r="G55" s="0" t="n">
        <v>223</v>
      </c>
      <c r="H55" s="0" t="n">
        <v>177.8</v>
      </c>
      <c r="I55" s="0" t="n">
        <v>1.2</v>
      </c>
      <c r="J55" s="0" t="n">
        <v>0.6</v>
      </c>
      <c r="K55" s="0" t="n">
        <v>0</v>
      </c>
      <c r="L55" s="0" t="n">
        <v>0</v>
      </c>
      <c r="M55" s="0" t="n">
        <v>0</v>
      </c>
      <c r="N55" s="0" t="n">
        <v>0</v>
      </c>
      <c r="O55" s="0" t="s">
        <v>401</v>
      </c>
      <c r="P55" s="0" t="s">
        <v>453</v>
      </c>
    </row>
    <row r="56" customFormat="false" ht="15" hidden="false" customHeight="false" outlineLevel="0" collapsed="false">
      <c r="A56" s="0" t="s">
        <v>310</v>
      </c>
      <c r="B56" s="0" t="s">
        <v>172</v>
      </c>
      <c r="C56" s="0" t="s">
        <v>241</v>
      </c>
      <c r="D56" s="0" t="s">
        <v>174</v>
      </c>
      <c r="E56" s="0" t="s">
        <v>418</v>
      </c>
      <c r="F56" s="0" t="n">
        <v>212.746</v>
      </c>
      <c r="G56" s="0" t="n">
        <v>212</v>
      </c>
      <c r="H56" s="0" t="n">
        <v>171.6</v>
      </c>
      <c r="I56" s="0" t="n">
        <v>-0.7</v>
      </c>
      <c r="J56" s="0" t="n">
        <v>-0.4</v>
      </c>
      <c r="K56" s="0" t="n">
        <v>0</v>
      </c>
      <c r="L56" s="0" t="n">
        <v>0</v>
      </c>
      <c r="M56" s="0" t="n">
        <v>0</v>
      </c>
      <c r="N56" s="0" t="n">
        <v>0</v>
      </c>
      <c r="O56" s="0" t="s">
        <v>401</v>
      </c>
      <c r="P56" s="0" t="s">
        <v>454</v>
      </c>
    </row>
    <row r="57" customFormat="false" ht="15" hidden="false" customHeight="false" outlineLevel="0" collapsed="false">
      <c r="A57" s="0" t="s">
        <v>310</v>
      </c>
      <c r="B57" s="0" t="s">
        <v>175</v>
      </c>
      <c r="C57" s="0" t="s">
        <v>241</v>
      </c>
      <c r="D57" s="0" t="s">
        <v>177</v>
      </c>
      <c r="E57" s="0" t="s">
        <v>418</v>
      </c>
      <c r="F57" s="0" t="n">
        <v>224.459</v>
      </c>
      <c r="G57" s="0" t="n">
        <v>224</v>
      </c>
      <c r="H57" s="0" t="n">
        <v>171.5</v>
      </c>
      <c r="I57" s="0" t="n">
        <v>-0.5</v>
      </c>
      <c r="J57" s="0" t="n">
        <v>-0.2</v>
      </c>
      <c r="K57" s="0" t="n">
        <v>0</v>
      </c>
      <c r="L57" s="0" t="n">
        <v>0</v>
      </c>
      <c r="M57" s="0" t="n">
        <v>0</v>
      </c>
      <c r="N57" s="0" t="n">
        <v>0</v>
      </c>
      <c r="O57" s="0" t="s">
        <v>401</v>
      </c>
      <c r="P57" s="0" t="s">
        <v>455</v>
      </c>
    </row>
    <row r="58" customFormat="false" ht="15" hidden="false" customHeight="false" outlineLevel="0" collapsed="false">
      <c r="A58" s="36" t="s">
        <v>310</v>
      </c>
      <c r="B58" s="36" t="s">
        <v>191</v>
      </c>
      <c r="C58" s="36" t="s">
        <v>241</v>
      </c>
      <c r="D58" s="36" t="s">
        <v>193</v>
      </c>
      <c r="E58" s="36" t="s">
        <v>418</v>
      </c>
      <c r="F58" s="36" t="n">
        <v>213.843</v>
      </c>
      <c r="G58" s="36" t="n">
        <v>166</v>
      </c>
      <c r="H58" s="36" t="n">
        <v>101.5</v>
      </c>
      <c r="I58" s="36" t="n">
        <v>-47.8</v>
      </c>
      <c r="J58" s="36" t="n">
        <v>-22.4</v>
      </c>
      <c r="K58" s="36" t="n">
        <v>0</v>
      </c>
      <c r="L58" s="36" t="n">
        <v>1</v>
      </c>
      <c r="M58" s="36" t="n">
        <v>1</v>
      </c>
      <c r="N58" s="36" t="n">
        <v>1</v>
      </c>
      <c r="O58" s="36" t="s">
        <v>401</v>
      </c>
      <c r="P58" s="36" t="s">
        <v>456</v>
      </c>
    </row>
    <row r="59" customFormat="false" ht="15" hidden="false" customHeight="false" outlineLevel="0" collapsed="false">
      <c r="A59" s="0" t="s">
        <v>311</v>
      </c>
      <c r="B59" s="0" t="s">
        <v>140</v>
      </c>
      <c r="C59" s="0" t="s">
        <v>243</v>
      </c>
      <c r="D59" s="0" t="s">
        <v>142</v>
      </c>
      <c r="E59" s="0" t="s">
        <v>418</v>
      </c>
      <c r="F59" s="0" t="n">
        <v>202.653</v>
      </c>
      <c r="G59" s="0" t="n">
        <v>210</v>
      </c>
      <c r="H59" s="0" t="n">
        <v>167.2</v>
      </c>
      <c r="I59" s="0" t="n">
        <v>7.3</v>
      </c>
      <c r="J59" s="0" t="n">
        <v>3.6</v>
      </c>
      <c r="K59" s="0" t="n">
        <v>0</v>
      </c>
      <c r="L59" s="0" t="n">
        <v>0</v>
      </c>
      <c r="M59" s="0" t="n">
        <v>0</v>
      </c>
      <c r="N59" s="0" t="n">
        <v>0</v>
      </c>
      <c r="O59" s="0" t="s">
        <v>401</v>
      </c>
      <c r="P59" s="0" t="s">
        <v>457</v>
      </c>
    </row>
    <row r="60" customFormat="false" ht="15" hidden="false" customHeight="false" outlineLevel="0" collapsed="false">
      <c r="A60" s="0" t="s">
        <v>311</v>
      </c>
      <c r="B60" s="0" t="s">
        <v>157</v>
      </c>
      <c r="C60" s="0" t="s">
        <v>243</v>
      </c>
      <c r="D60" s="0" t="s">
        <v>159</v>
      </c>
      <c r="E60" s="0" t="s">
        <v>418</v>
      </c>
      <c r="F60" s="0" t="n">
        <v>216.187</v>
      </c>
      <c r="G60" s="0" t="n">
        <v>218</v>
      </c>
      <c r="H60" s="0" t="n">
        <v>181.9</v>
      </c>
      <c r="I60" s="0" t="n">
        <v>1.8</v>
      </c>
      <c r="J60" s="0" t="n">
        <v>0.8</v>
      </c>
      <c r="K60" s="0" t="n">
        <v>0</v>
      </c>
      <c r="L60" s="0" t="n">
        <v>0</v>
      </c>
      <c r="M60" s="0" t="n">
        <v>0</v>
      </c>
      <c r="N60" s="0" t="n">
        <v>0</v>
      </c>
      <c r="O60" s="0" t="s">
        <v>401</v>
      </c>
      <c r="P60" s="0" t="s">
        <v>458</v>
      </c>
    </row>
    <row r="61" customFormat="false" ht="15" hidden="false" customHeight="false" outlineLevel="0" collapsed="false">
      <c r="A61" s="0" t="s">
        <v>311</v>
      </c>
      <c r="B61" s="0" t="s">
        <v>160</v>
      </c>
      <c r="C61" s="0" t="s">
        <v>243</v>
      </c>
      <c r="D61" s="0" t="s">
        <v>162</v>
      </c>
      <c r="E61" s="0" t="s">
        <v>418</v>
      </c>
      <c r="F61" s="0" t="n">
        <v>212.798</v>
      </c>
      <c r="G61" s="0" t="n">
        <v>215</v>
      </c>
      <c r="H61" s="0" t="n">
        <v>177.6</v>
      </c>
      <c r="I61" s="0" t="n">
        <v>2.2</v>
      </c>
      <c r="J61" s="0" t="n">
        <v>1</v>
      </c>
      <c r="K61" s="0" t="n">
        <v>0</v>
      </c>
      <c r="L61" s="0" t="n">
        <v>0</v>
      </c>
      <c r="M61" s="0" t="n">
        <v>0</v>
      </c>
      <c r="N61" s="0" t="n">
        <v>0</v>
      </c>
      <c r="O61" s="0" t="s">
        <v>401</v>
      </c>
      <c r="P61" s="0" t="s">
        <v>459</v>
      </c>
    </row>
    <row r="62" customFormat="false" ht="15" hidden="false" customHeight="false" outlineLevel="0" collapsed="false">
      <c r="A62" s="0" t="s">
        <v>311</v>
      </c>
      <c r="B62" s="0" t="s">
        <v>166</v>
      </c>
      <c r="C62" s="0" t="s">
        <v>243</v>
      </c>
      <c r="D62" s="0" t="s">
        <v>168</v>
      </c>
      <c r="E62" s="0" t="s">
        <v>418</v>
      </c>
      <c r="F62" s="0" t="n">
        <v>182.441</v>
      </c>
      <c r="G62" s="0" t="n">
        <v>185</v>
      </c>
      <c r="H62" s="0" t="n">
        <v>153</v>
      </c>
      <c r="I62" s="0" t="n">
        <v>2.6</v>
      </c>
      <c r="J62" s="0" t="n">
        <v>1.4</v>
      </c>
      <c r="K62" s="0" t="n">
        <v>0</v>
      </c>
      <c r="L62" s="0" t="n">
        <v>0</v>
      </c>
      <c r="M62" s="0" t="n">
        <v>0</v>
      </c>
      <c r="N62" s="0" t="n">
        <v>0</v>
      </c>
      <c r="O62" s="0" t="s">
        <v>401</v>
      </c>
      <c r="P62" s="0" t="s">
        <v>460</v>
      </c>
    </row>
    <row r="63" customFormat="false" ht="15" hidden="false" customHeight="false" outlineLevel="0" collapsed="false">
      <c r="A63" s="0" t="s">
        <v>311</v>
      </c>
      <c r="B63" s="0" t="s">
        <v>169</v>
      </c>
      <c r="C63" s="0" t="s">
        <v>243</v>
      </c>
      <c r="D63" s="0" t="s">
        <v>171</v>
      </c>
      <c r="E63" s="0" t="s">
        <v>418</v>
      </c>
      <c r="F63" s="0" t="n">
        <v>220.391</v>
      </c>
      <c r="G63" s="0" t="n">
        <v>222</v>
      </c>
      <c r="H63" s="0" t="n">
        <v>175.9</v>
      </c>
      <c r="I63" s="0" t="n">
        <v>1.6</v>
      </c>
      <c r="J63" s="0" t="n">
        <v>0.7</v>
      </c>
      <c r="K63" s="0" t="n">
        <v>0</v>
      </c>
      <c r="L63" s="0" t="n">
        <v>0</v>
      </c>
      <c r="M63" s="0" t="n">
        <v>0</v>
      </c>
      <c r="N63" s="0" t="n">
        <v>0</v>
      </c>
      <c r="O63" s="0" t="s">
        <v>401</v>
      </c>
      <c r="P63" s="0" t="s">
        <v>461</v>
      </c>
    </row>
    <row r="64" customFormat="false" ht="15" hidden="false" customHeight="false" outlineLevel="0" collapsed="false">
      <c r="A64" s="0" t="s">
        <v>311</v>
      </c>
      <c r="B64" s="0" t="s">
        <v>172</v>
      </c>
      <c r="C64" s="0" t="s">
        <v>243</v>
      </c>
      <c r="D64" s="0" t="s">
        <v>174</v>
      </c>
      <c r="E64" s="0" t="s">
        <v>418</v>
      </c>
      <c r="F64" s="0" t="n">
        <v>173.415</v>
      </c>
      <c r="G64" s="0" t="n">
        <v>175</v>
      </c>
      <c r="H64" s="0" t="n">
        <v>146.7</v>
      </c>
      <c r="I64" s="0" t="n">
        <v>1.6</v>
      </c>
      <c r="J64" s="0" t="n">
        <v>0.9</v>
      </c>
      <c r="K64" s="0" t="n">
        <v>1</v>
      </c>
      <c r="L64" s="0" t="n">
        <v>1</v>
      </c>
      <c r="M64" s="0" t="n">
        <v>0</v>
      </c>
      <c r="N64" s="0" t="n">
        <v>0</v>
      </c>
      <c r="O64" s="0" t="s">
        <v>401</v>
      </c>
      <c r="P64" s="0" t="s">
        <v>462</v>
      </c>
    </row>
    <row r="65" customFormat="false" ht="15" hidden="false" customHeight="false" outlineLevel="0" collapsed="false">
      <c r="A65" s="0" t="s">
        <v>311</v>
      </c>
      <c r="B65" s="0" t="s">
        <v>175</v>
      </c>
      <c r="C65" s="0" t="s">
        <v>243</v>
      </c>
      <c r="D65" s="0" t="s">
        <v>177</v>
      </c>
      <c r="E65" s="0" t="s">
        <v>418</v>
      </c>
      <c r="F65" s="0" t="n">
        <v>185.128</v>
      </c>
      <c r="G65" s="0" t="n">
        <v>187</v>
      </c>
      <c r="H65" s="0" t="n">
        <v>146.7</v>
      </c>
      <c r="I65" s="0" t="n">
        <v>1.9</v>
      </c>
      <c r="J65" s="0" t="n">
        <v>1</v>
      </c>
      <c r="K65" s="0" t="n">
        <v>0</v>
      </c>
      <c r="L65" s="0" t="n">
        <v>0</v>
      </c>
      <c r="M65" s="0" t="n">
        <v>0</v>
      </c>
      <c r="N65" s="0" t="n">
        <v>0</v>
      </c>
      <c r="O65" s="0" t="s">
        <v>401</v>
      </c>
      <c r="P65" s="0" t="s">
        <v>463</v>
      </c>
    </row>
    <row r="66" customFormat="false" ht="15" hidden="false" customHeight="false" outlineLevel="0" collapsed="false">
      <c r="A66" s="0" t="s">
        <v>311</v>
      </c>
      <c r="B66" s="0" t="s">
        <v>188</v>
      </c>
      <c r="C66" s="0" t="s">
        <v>243</v>
      </c>
      <c r="D66" s="0" t="s">
        <v>190</v>
      </c>
      <c r="E66" s="0" t="s">
        <v>418</v>
      </c>
      <c r="F66" s="0" t="n">
        <v>172.493</v>
      </c>
      <c r="G66" s="0" t="n">
        <v>173</v>
      </c>
      <c r="H66" s="0" t="n">
        <v>76.2</v>
      </c>
      <c r="I66" s="0" t="n">
        <v>0.5</v>
      </c>
      <c r="J66" s="0" t="n">
        <v>0.3</v>
      </c>
      <c r="K66" s="0" t="n">
        <v>1</v>
      </c>
      <c r="L66" s="0" t="n">
        <v>1</v>
      </c>
      <c r="M66" s="0" t="n">
        <v>0</v>
      </c>
      <c r="N66" s="0" t="n">
        <v>0</v>
      </c>
      <c r="O66" s="0" t="s">
        <v>401</v>
      </c>
      <c r="P66" s="0" t="s">
        <v>464</v>
      </c>
    </row>
    <row r="67" customFormat="false" ht="15" hidden="false" customHeight="false" outlineLevel="0" collapsed="false">
      <c r="A67" s="0" t="s">
        <v>312</v>
      </c>
      <c r="B67" s="0" t="s">
        <v>140</v>
      </c>
      <c r="C67" s="0" t="s">
        <v>246</v>
      </c>
      <c r="D67" s="0" t="s">
        <v>142</v>
      </c>
      <c r="E67" s="0" t="s">
        <v>418</v>
      </c>
      <c r="F67" s="0" t="n">
        <v>187.368</v>
      </c>
      <c r="G67" s="0" t="n">
        <v>194</v>
      </c>
      <c r="H67" s="0" t="n">
        <v>135.2</v>
      </c>
      <c r="I67" s="0" t="n">
        <v>6.6</v>
      </c>
      <c r="J67" s="0" t="n">
        <v>3.5</v>
      </c>
      <c r="K67" s="0" t="n">
        <v>0</v>
      </c>
      <c r="L67" s="0" t="n">
        <v>0</v>
      </c>
      <c r="M67" s="0" t="n">
        <v>0</v>
      </c>
      <c r="N67" s="0" t="n">
        <v>0</v>
      </c>
      <c r="O67" s="0" t="s">
        <v>401</v>
      </c>
      <c r="P67" s="0" t="s">
        <v>465</v>
      </c>
    </row>
    <row r="68" customFormat="false" ht="15" hidden="false" customHeight="false" outlineLevel="0" collapsed="false">
      <c r="A68" s="0" t="s">
        <v>312</v>
      </c>
      <c r="B68" s="0" t="s">
        <v>148</v>
      </c>
      <c r="C68" s="0" t="s">
        <v>246</v>
      </c>
      <c r="D68" s="0" t="s">
        <v>150</v>
      </c>
      <c r="E68" s="0" t="s">
        <v>418</v>
      </c>
      <c r="F68" s="0" t="n">
        <v>228.183</v>
      </c>
      <c r="G68" s="0" t="n">
        <v>229</v>
      </c>
      <c r="H68" s="0" t="n">
        <v>174.4</v>
      </c>
      <c r="I68" s="0" t="n">
        <v>0.8</v>
      </c>
      <c r="J68" s="0" t="n">
        <v>0.4</v>
      </c>
      <c r="K68" s="0" t="n">
        <v>0</v>
      </c>
      <c r="L68" s="0" t="n">
        <v>0</v>
      </c>
      <c r="M68" s="0" t="n">
        <v>0</v>
      </c>
      <c r="N68" s="0" t="n">
        <v>0</v>
      </c>
      <c r="O68" s="0" t="s">
        <v>401</v>
      </c>
      <c r="P68" s="0" t="s">
        <v>466</v>
      </c>
    </row>
    <row r="69" customFormat="false" ht="15" hidden="false" customHeight="false" outlineLevel="0" collapsed="false">
      <c r="A69" s="0" t="s">
        <v>312</v>
      </c>
      <c r="B69" s="0" t="s">
        <v>157</v>
      </c>
      <c r="C69" s="0" t="s">
        <v>246</v>
      </c>
      <c r="D69" s="0" t="s">
        <v>159</v>
      </c>
      <c r="E69" s="0" t="s">
        <v>418</v>
      </c>
      <c r="F69" s="0" t="n">
        <v>200.902</v>
      </c>
      <c r="G69" s="0" t="n">
        <v>202</v>
      </c>
      <c r="H69" s="0" t="n">
        <v>149.8</v>
      </c>
      <c r="I69" s="0" t="n">
        <v>1.1</v>
      </c>
      <c r="J69" s="0" t="n">
        <v>0.5</v>
      </c>
      <c r="K69" s="0" t="n">
        <v>0</v>
      </c>
      <c r="L69" s="0" t="n">
        <v>0</v>
      </c>
      <c r="M69" s="0" t="n">
        <v>0</v>
      </c>
      <c r="N69" s="0" t="n">
        <v>0</v>
      </c>
      <c r="O69" s="0" t="s">
        <v>401</v>
      </c>
      <c r="P69" s="0" t="s">
        <v>467</v>
      </c>
    </row>
    <row r="70" customFormat="false" ht="15" hidden="false" customHeight="false" outlineLevel="0" collapsed="false">
      <c r="A70" s="0" t="s">
        <v>312</v>
      </c>
      <c r="B70" s="0" t="s">
        <v>160</v>
      </c>
      <c r="C70" s="0" t="s">
        <v>246</v>
      </c>
      <c r="D70" s="0" t="s">
        <v>162</v>
      </c>
      <c r="E70" s="0" t="s">
        <v>418</v>
      </c>
      <c r="F70" s="0" t="n">
        <v>197.513</v>
      </c>
      <c r="G70" s="0" t="n">
        <v>199</v>
      </c>
      <c r="H70" s="0" t="n">
        <v>145.5</v>
      </c>
      <c r="I70" s="0" t="n">
        <v>1.5</v>
      </c>
      <c r="J70" s="0" t="n">
        <v>0.8</v>
      </c>
      <c r="K70" s="0" t="n">
        <v>0</v>
      </c>
      <c r="L70" s="0" t="n">
        <v>0</v>
      </c>
      <c r="M70" s="0" t="n">
        <v>0</v>
      </c>
      <c r="N70" s="0" t="n">
        <v>0</v>
      </c>
      <c r="O70" s="0" t="s">
        <v>401</v>
      </c>
      <c r="P70" s="0" t="s">
        <v>468</v>
      </c>
    </row>
    <row r="71" customFormat="false" ht="15" hidden="false" customHeight="false" outlineLevel="0" collapsed="false">
      <c r="A71" s="0" t="s">
        <v>312</v>
      </c>
      <c r="B71" s="0" t="s">
        <v>163</v>
      </c>
      <c r="C71" s="0" t="s">
        <v>246</v>
      </c>
      <c r="D71" s="0" t="s">
        <v>165</v>
      </c>
      <c r="E71" s="0" t="s">
        <v>418</v>
      </c>
      <c r="F71" s="0" t="n">
        <v>219.029</v>
      </c>
      <c r="G71" s="0" t="n">
        <v>221</v>
      </c>
      <c r="H71" s="0" t="n">
        <v>153.7</v>
      </c>
      <c r="I71" s="0" t="n">
        <v>2</v>
      </c>
      <c r="J71" s="0" t="n">
        <v>0.9</v>
      </c>
      <c r="K71" s="0" t="n">
        <v>0</v>
      </c>
      <c r="L71" s="0" t="n">
        <v>0</v>
      </c>
      <c r="M71" s="0" t="n">
        <v>0</v>
      </c>
      <c r="N71" s="0" t="n">
        <v>0</v>
      </c>
      <c r="O71" s="0" t="s">
        <v>401</v>
      </c>
      <c r="P71" s="0" t="s">
        <v>469</v>
      </c>
    </row>
    <row r="72" customFormat="false" ht="15" hidden="false" customHeight="false" outlineLevel="0" collapsed="false">
      <c r="A72" s="0" t="s">
        <v>312</v>
      </c>
      <c r="B72" s="0" t="s">
        <v>166</v>
      </c>
      <c r="C72" s="0" t="s">
        <v>246</v>
      </c>
      <c r="D72" s="0" t="s">
        <v>168</v>
      </c>
      <c r="E72" s="0" t="s">
        <v>418</v>
      </c>
      <c r="F72" s="0" t="n">
        <v>167.156</v>
      </c>
      <c r="G72" s="0" t="n">
        <v>169</v>
      </c>
      <c r="H72" s="0" t="n">
        <v>120.9</v>
      </c>
      <c r="I72" s="0" t="n">
        <v>1.8</v>
      </c>
      <c r="J72" s="0" t="n">
        <v>1.1</v>
      </c>
      <c r="K72" s="0" t="n">
        <v>1</v>
      </c>
      <c r="L72" s="0" t="n">
        <v>1</v>
      </c>
      <c r="M72" s="0" t="n">
        <v>0</v>
      </c>
      <c r="N72" s="0" t="n">
        <v>0</v>
      </c>
      <c r="O72" s="0" t="s">
        <v>401</v>
      </c>
      <c r="P72" s="0" t="s">
        <v>470</v>
      </c>
    </row>
    <row r="73" customFormat="false" ht="15" hidden="false" customHeight="false" outlineLevel="0" collapsed="false">
      <c r="A73" s="0" t="s">
        <v>312</v>
      </c>
      <c r="B73" s="0" t="s">
        <v>169</v>
      </c>
      <c r="C73" s="0" t="s">
        <v>246</v>
      </c>
      <c r="D73" s="0" t="s">
        <v>171</v>
      </c>
      <c r="E73" s="0" t="s">
        <v>418</v>
      </c>
      <c r="F73" s="0" t="n">
        <v>205.107</v>
      </c>
      <c r="G73" s="0" t="n">
        <v>205</v>
      </c>
      <c r="H73" s="0" t="n">
        <v>144</v>
      </c>
      <c r="I73" s="0" t="n">
        <v>-0.1</v>
      </c>
      <c r="J73" s="0" t="n">
        <v>-0.1</v>
      </c>
      <c r="K73" s="0" t="n">
        <v>0</v>
      </c>
      <c r="L73" s="0" t="n">
        <v>0</v>
      </c>
      <c r="M73" s="0" t="n">
        <v>0</v>
      </c>
      <c r="N73" s="0" t="n">
        <v>0</v>
      </c>
      <c r="O73" s="0" t="s">
        <v>401</v>
      </c>
      <c r="P73" s="0" t="s">
        <v>471</v>
      </c>
    </row>
    <row r="74" customFormat="false" ht="15" hidden="false" customHeight="false" outlineLevel="0" collapsed="false">
      <c r="A74" s="0" t="s">
        <v>312</v>
      </c>
      <c r="B74" s="0" t="s">
        <v>175</v>
      </c>
      <c r="C74" s="0" t="s">
        <v>246</v>
      </c>
      <c r="D74" s="0" t="s">
        <v>177</v>
      </c>
      <c r="E74" s="0" t="s">
        <v>418</v>
      </c>
      <c r="F74" s="0" t="n">
        <v>169.844</v>
      </c>
      <c r="G74" s="0" t="n">
        <v>170</v>
      </c>
      <c r="H74" s="0" t="n">
        <v>114.6</v>
      </c>
      <c r="I74" s="0" t="n">
        <v>0.2</v>
      </c>
      <c r="J74" s="0" t="n">
        <v>0.1</v>
      </c>
      <c r="K74" s="0" t="n">
        <v>1</v>
      </c>
      <c r="L74" s="0" t="n">
        <v>1</v>
      </c>
      <c r="M74" s="0" t="n">
        <v>0</v>
      </c>
      <c r="N74" s="0" t="n">
        <v>0</v>
      </c>
      <c r="O74" s="0" t="s">
        <v>401</v>
      </c>
      <c r="P74" s="0" t="s">
        <v>472</v>
      </c>
    </row>
    <row r="75" customFormat="false" ht="15" hidden="false" customHeight="false" outlineLevel="0" collapsed="false">
      <c r="A75" s="0" t="s">
        <v>312</v>
      </c>
      <c r="B75" s="0" t="s">
        <v>185</v>
      </c>
      <c r="C75" s="0" t="s">
        <v>246</v>
      </c>
      <c r="D75" s="0" t="s">
        <v>187</v>
      </c>
      <c r="E75" s="0" t="s">
        <v>418</v>
      </c>
      <c r="F75" s="0" t="n">
        <v>209.009</v>
      </c>
      <c r="G75" s="0" t="n">
        <v>218</v>
      </c>
      <c r="H75" s="0" t="n">
        <v>114.9</v>
      </c>
      <c r="I75" s="0" t="n">
        <v>9</v>
      </c>
      <c r="J75" s="0" t="n">
        <v>4.3</v>
      </c>
      <c r="K75" s="0" t="n">
        <v>0</v>
      </c>
      <c r="L75" s="0" t="n">
        <v>0</v>
      </c>
      <c r="M75" s="0" t="n">
        <v>0</v>
      </c>
      <c r="N75" s="0" t="n">
        <v>0</v>
      </c>
      <c r="O75" s="0" t="s">
        <v>401</v>
      </c>
      <c r="P75" s="0" t="s">
        <v>473</v>
      </c>
    </row>
    <row r="76" customFormat="false" ht="15" hidden="false" customHeight="false" outlineLevel="0" collapsed="false">
      <c r="A76" s="0" t="s">
        <v>312</v>
      </c>
      <c r="B76" s="0" t="s">
        <v>188</v>
      </c>
      <c r="C76" s="0" t="s">
        <v>246</v>
      </c>
      <c r="D76" s="0" t="s">
        <v>190</v>
      </c>
      <c r="E76" s="0" t="s">
        <v>418</v>
      </c>
      <c r="F76" s="0" t="n">
        <v>223.704</v>
      </c>
      <c r="G76" s="0" t="n">
        <v>242</v>
      </c>
      <c r="H76" s="0" t="n">
        <v>107.7</v>
      </c>
      <c r="I76" s="0" t="n">
        <v>18.3</v>
      </c>
      <c r="J76" s="0" t="n">
        <v>8.2</v>
      </c>
      <c r="K76" s="0" t="n">
        <v>0</v>
      </c>
      <c r="L76" s="0" t="n">
        <v>0</v>
      </c>
      <c r="M76" s="0" t="n">
        <v>0</v>
      </c>
      <c r="N76" s="0" t="n">
        <v>0</v>
      </c>
      <c r="O76" s="0" t="s">
        <v>401</v>
      </c>
      <c r="P76" s="0" t="s">
        <v>474</v>
      </c>
    </row>
    <row r="77" customFormat="false" ht="15" hidden="false" customHeight="false" outlineLevel="0" collapsed="false">
      <c r="A77" s="0" t="s">
        <v>313</v>
      </c>
      <c r="B77" s="0" t="s">
        <v>151</v>
      </c>
      <c r="C77" s="0" t="s">
        <v>248</v>
      </c>
      <c r="D77" s="0" t="s">
        <v>153</v>
      </c>
      <c r="E77" s="0" t="s">
        <v>418</v>
      </c>
      <c r="F77" s="0" t="n">
        <v>183.143</v>
      </c>
      <c r="G77" s="0" t="n">
        <v>184</v>
      </c>
      <c r="H77" s="0" t="n">
        <v>147.4</v>
      </c>
      <c r="I77" s="0" t="n">
        <v>0.9</v>
      </c>
      <c r="J77" s="0" t="n">
        <v>0.5</v>
      </c>
      <c r="K77" s="0" t="n">
        <v>0</v>
      </c>
      <c r="L77" s="0" t="n">
        <v>0</v>
      </c>
      <c r="M77" s="0" t="n">
        <v>0</v>
      </c>
      <c r="N77" s="0" t="n">
        <v>0</v>
      </c>
      <c r="O77" s="0" t="s">
        <v>401</v>
      </c>
      <c r="P77" s="0" t="s">
        <v>475</v>
      </c>
    </row>
    <row r="78" customFormat="false" ht="15" hidden="false" customHeight="false" outlineLevel="0" collapsed="false">
      <c r="A78" s="0" t="s">
        <v>313</v>
      </c>
      <c r="B78" s="0" t="s">
        <v>195</v>
      </c>
      <c r="C78" s="0" t="s">
        <v>248</v>
      </c>
      <c r="D78" s="0" t="s">
        <v>197</v>
      </c>
      <c r="E78" s="0" t="s">
        <v>418</v>
      </c>
      <c r="F78" s="0" t="n">
        <v>166.514</v>
      </c>
      <c r="G78" s="0" t="n">
        <v>167</v>
      </c>
      <c r="H78" s="0" t="n">
        <v>133.6</v>
      </c>
      <c r="I78" s="0" t="n">
        <v>0.5</v>
      </c>
      <c r="J78" s="0" t="n">
        <v>0.3</v>
      </c>
      <c r="K78" s="0" t="n">
        <v>1</v>
      </c>
      <c r="L78" s="0" t="n">
        <v>1</v>
      </c>
      <c r="M78" s="0" t="n">
        <v>0</v>
      </c>
      <c r="N78" s="0" t="n">
        <v>0</v>
      </c>
      <c r="O78" s="0" t="s">
        <v>401</v>
      </c>
      <c r="P78" s="0" t="s">
        <v>476</v>
      </c>
    </row>
    <row r="79" customFormat="false" ht="15" hidden="false" customHeight="false" outlineLevel="0" collapsed="false">
      <c r="A79" s="0" t="s">
        <v>314</v>
      </c>
      <c r="B79" s="0" t="s">
        <v>140</v>
      </c>
      <c r="C79" s="0" t="s">
        <v>251</v>
      </c>
      <c r="D79" s="0" t="s">
        <v>142</v>
      </c>
      <c r="E79" s="0" t="s">
        <v>418</v>
      </c>
      <c r="F79" s="0" t="n">
        <v>162.183</v>
      </c>
      <c r="G79" s="0" t="n">
        <v>168</v>
      </c>
      <c r="H79" s="0" t="n">
        <v>130.1</v>
      </c>
      <c r="I79" s="0" t="n">
        <v>5.8</v>
      </c>
      <c r="J79" s="0" t="n">
        <v>3.6</v>
      </c>
      <c r="K79" s="0" t="n">
        <v>1</v>
      </c>
      <c r="L79" s="0" t="n">
        <v>1</v>
      </c>
      <c r="M79" s="0" t="n">
        <v>0</v>
      </c>
      <c r="N79" s="0" t="n">
        <v>0</v>
      </c>
      <c r="O79" s="0" t="s">
        <v>401</v>
      </c>
      <c r="P79" s="0" t="s">
        <v>477</v>
      </c>
    </row>
    <row r="80" customFormat="false" ht="15" hidden="false" customHeight="false" outlineLevel="0" collapsed="false">
      <c r="A80" s="0" t="s">
        <v>314</v>
      </c>
      <c r="B80" s="0" t="s">
        <v>148</v>
      </c>
      <c r="C80" s="0" t="s">
        <v>251</v>
      </c>
      <c r="D80" s="0" t="s">
        <v>150</v>
      </c>
      <c r="E80" s="0" t="s">
        <v>418</v>
      </c>
      <c r="F80" s="0" t="n">
        <v>202.997</v>
      </c>
      <c r="G80" s="0" t="n">
        <v>203</v>
      </c>
      <c r="H80" s="0" t="n">
        <v>169.6</v>
      </c>
      <c r="I80" s="0" t="n">
        <v>0</v>
      </c>
      <c r="J80" s="0" t="n">
        <v>0</v>
      </c>
      <c r="K80" s="0" t="n">
        <v>0</v>
      </c>
      <c r="L80" s="0" t="n">
        <v>0</v>
      </c>
      <c r="M80" s="0" t="n">
        <v>0</v>
      </c>
      <c r="N80" s="0" t="n">
        <v>0</v>
      </c>
      <c r="O80" s="0" t="s">
        <v>401</v>
      </c>
      <c r="P80" s="0" t="s">
        <v>478</v>
      </c>
    </row>
    <row r="81" customFormat="false" ht="15" hidden="false" customHeight="false" outlineLevel="0" collapsed="false">
      <c r="A81" s="0" t="s">
        <v>314</v>
      </c>
      <c r="B81" s="0" t="s">
        <v>157</v>
      </c>
      <c r="C81" s="0" t="s">
        <v>251</v>
      </c>
      <c r="D81" s="0" t="s">
        <v>159</v>
      </c>
      <c r="E81" s="0" t="s">
        <v>418</v>
      </c>
      <c r="F81" s="0" t="n">
        <v>175.717</v>
      </c>
      <c r="G81" s="0" t="n">
        <v>176</v>
      </c>
      <c r="H81" s="0" t="n">
        <v>144.7</v>
      </c>
      <c r="I81" s="0" t="n">
        <v>0.3</v>
      </c>
      <c r="J81" s="0" t="n">
        <v>0.2</v>
      </c>
      <c r="K81" s="0" t="n">
        <v>1</v>
      </c>
      <c r="L81" s="0" t="n">
        <v>1</v>
      </c>
      <c r="M81" s="0" t="n">
        <v>0</v>
      </c>
      <c r="N81" s="0" t="n">
        <v>0</v>
      </c>
      <c r="O81" s="0" t="s">
        <v>401</v>
      </c>
      <c r="P81" s="0" t="s">
        <v>479</v>
      </c>
    </row>
    <row r="82" customFormat="false" ht="15" hidden="false" customHeight="false" outlineLevel="0" collapsed="false">
      <c r="A82" s="0" t="s">
        <v>314</v>
      </c>
      <c r="B82" s="0" t="s">
        <v>160</v>
      </c>
      <c r="C82" s="0" t="s">
        <v>251</v>
      </c>
      <c r="D82" s="0" t="s">
        <v>162</v>
      </c>
      <c r="E82" s="0" t="s">
        <v>418</v>
      </c>
      <c r="F82" s="0" t="n">
        <v>172.327</v>
      </c>
      <c r="G82" s="0" t="n">
        <v>173</v>
      </c>
      <c r="H82" s="0" t="n">
        <v>141.1</v>
      </c>
      <c r="I82" s="0" t="n">
        <v>0.7</v>
      </c>
      <c r="J82" s="0" t="n">
        <v>0.4</v>
      </c>
      <c r="K82" s="0" t="n">
        <v>1</v>
      </c>
      <c r="L82" s="0" t="n">
        <v>1</v>
      </c>
      <c r="M82" s="0" t="n">
        <v>0</v>
      </c>
      <c r="N82" s="0" t="n">
        <v>0</v>
      </c>
      <c r="O82" s="0" t="s">
        <v>401</v>
      </c>
      <c r="P82" s="0" t="s">
        <v>480</v>
      </c>
    </row>
    <row r="83" customFormat="false" ht="15" hidden="false" customHeight="false" outlineLevel="0" collapsed="false">
      <c r="A83" s="0" t="s">
        <v>314</v>
      </c>
      <c r="B83" s="0" t="s">
        <v>163</v>
      </c>
      <c r="C83" s="0" t="s">
        <v>251</v>
      </c>
      <c r="D83" s="0" t="s">
        <v>165</v>
      </c>
      <c r="E83" s="0" t="s">
        <v>418</v>
      </c>
      <c r="F83" s="0" t="n">
        <v>193.843</v>
      </c>
      <c r="G83" s="0" t="n">
        <v>195</v>
      </c>
      <c r="H83" s="0" t="n">
        <v>148.1</v>
      </c>
      <c r="I83" s="0" t="n">
        <v>1.2</v>
      </c>
      <c r="J83" s="0" t="n">
        <v>0.6</v>
      </c>
      <c r="K83" s="0" t="n">
        <v>0</v>
      </c>
      <c r="L83" s="0" t="n">
        <v>0</v>
      </c>
      <c r="M83" s="0" t="n">
        <v>0</v>
      </c>
      <c r="N83" s="0" t="n">
        <v>0</v>
      </c>
      <c r="O83" s="0" t="s">
        <v>401</v>
      </c>
      <c r="P83" s="0" t="s">
        <v>481</v>
      </c>
    </row>
    <row r="84" customFormat="false" ht="15" hidden="false" customHeight="false" outlineLevel="0" collapsed="false">
      <c r="A84" s="0" t="s">
        <v>314</v>
      </c>
      <c r="B84" s="0" t="s">
        <v>169</v>
      </c>
      <c r="C84" s="0" t="s">
        <v>251</v>
      </c>
      <c r="D84" s="0" t="s">
        <v>171</v>
      </c>
      <c r="E84" s="0" t="s">
        <v>418</v>
      </c>
      <c r="F84" s="0" t="n">
        <v>179.921</v>
      </c>
      <c r="G84" s="0" t="n">
        <v>180</v>
      </c>
      <c r="H84" s="0" t="n">
        <v>138.5</v>
      </c>
      <c r="I84" s="0" t="n">
        <v>0.1</v>
      </c>
      <c r="J84" s="0" t="n">
        <v>0</v>
      </c>
      <c r="K84" s="0" t="n">
        <v>1</v>
      </c>
      <c r="L84" s="0" t="n">
        <v>1</v>
      </c>
      <c r="M84" s="0" t="n">
        <v>0</v>
      </c>
      <c r="N84" s="0" t="n">
        <v>0</v>
      </c>
      <c r="O84" s="0" t="s">
        <v>401</v>
      </c>
      <c r="P84" s="0" t="s">
        <v>482</v>
      </c>
    </row>
    <row r="85" customFormat="false" ht="15" hidden="false" customHeight="false" outlineLevel="0" collapsed="false">
      <c r="A85" s="0" t="s">
        <v>314</v>
      </c>
      <c r="B85" s="0" t="s">
        <v>185</v>
      </c>
      <c r="C85" s="0" t="s">
        <v>251</v>
      </c>
      <c r="D85" s="0" t="s">
        <v>187</v>
      </c>
      <c r="E85" s="0" t="s">
        <v>418</v>
      </c>
      <c r="F85" s="0" t="n">
        <v>218.842</v>
      </c>
      <c r="G85" s="0" t="n">
        <v>224</v>
      </c>
      <c r="H85" s="0" t="n">
        <v>120.7</v>
      </c>
      <c r="I85" s="0" t="n">
        <v>5.2</v>
      </c>
      <c r="J85" s="0" t="n">
        <v>2.4</v>
      </c>
      <c r="K85" s="0" t="n">
        <v>0</v>
      </c>
      <c r="L85" s="0" t="n">
        <v>0</v>
      </c>
      <c r="M85" s="0" t="n">
        <v>0</v>
      </c>
      <c r="N85" s="0" t="n">
        <v>0</v>
      </c>
      <c r="O85" s="0" t="s">
        <v>401</v>
      </c>
      <c r="P85" s="0" t="s">
        <v>483</v>
      </c>
    </row>
    <row r="86" customFormat="false" ht="15" hidden="false" customHeight="false" outlineLevel="0" collapsed="false">
      <c r="A86" s="0" t="s">
        <v>315</v>
      </c>
      <c r="B86" s="0" t="s">
        <v>182</v>
      </c>
      <c r="C86" s="0" t="s">
        <v>253</v>
      </c>
      <c r="D86" s="0" t="s">
        <v>184</v>
      </c>
      <c r="E86" s="0" t="s">
        <v>418</v>
      </c>
      <c r="F86" s="0" t="n">
        <v>170.511</v>
      </c>
      <c r="G86" s="0" t="n">
        <v>162</v>
      </c>
      <c r="H86" s="0" t="n">
        <v>127.7</v>
      </c>
      <c r="I86" s="0" t="n">
        <v>-8.5</v>
      </c>
      <c r="J86" s="0" t="n">
        <v>-5</v>
      </c>
      <c r="K86" s="0" t="n">
        <v>1</v>
      </c>
      <c r="L86" s="0" t="n">
        <v>1</v>
      </c>
      <c r="M86" s="0" t="n">
        <v>0</v>
      </c>
      <c r="N86" s="0" t="n">
        <v>0</v>
      </c>
      <c r="O86" s="0" t="s">
        <v>401</v>
      </c>
      <c r="P86" s="0" t="s">
        <v>484</v>
      </c>
    </row>
    <row r="87" customFormat="false" ht="15" hidden="false" customHeight="false" outlineLevel="0" collapsed="false">
      <c r="A87" s="0" t="s">
        <v>316</v>
      </c>
      <c r="B87" s="0" t="s">
        <v>178</v>
      </c>
      <c r="C87" s="0" t="s">
        <v>255</v>
      </c>
      <c r="D87" s="0" t="s">
        <v>180</v>
      </c>
      <c r="E87" s="0" t="s">
        <v>418</v>
      </c>
      <c r="F87" s="0" t="n">
        <v>182.047</v>
      </c>
      <c r="G87" s="0" t="n">
        <v>185</v>
      </c>
      <c r="H87" s="0" t="n">
        <v>151.7</v>
      </c>
      <c r="I87" s="0" t="n">
        <v>3</v>
      </c>
      <c r="J87" s="0" t="n">
        <v>1.6</v>
      </c>
      <c r="K87" s="0" t="n">
        <v>0</v>
      </c>
      <c r="L87" s="0" t="n">
        <v>0</v>
      </c>
      <c r="M87" s="0" t="n">
        <v>0</v>
      </c>
      <c r="N87" s="0" t="n">
        <v>0</v>
      </c>
      <c r="O87" s="0" t="s">
        <v>401</v>
      </c>
      <c r="P87" s="0" t="s">
        <v>485</v>
      </c>
    </row>
    <row r="88" customFormat="false" ht="15" hidden="false" customHeight="false" outlineLevel="0" collapsed="false">
      <c r="A88" s="0" t="s">
        <v>317</v>
      </c>
      <c r="B88" s="0" t="s">
        <v>178</v>
      </c>
      <c r="C88" s="0" t="s">
        <v>257</v>
      </c>
      <c r="D88" s="0" t="s">
        <v>180</v>
      </c>
      <c r="E88" s="0" t="s">
        <v>418</v>
      </c>
      <c r="F88" s="0" t="n">
        <v>168.627</v>
      </c>
      <c r="G88" s="0" t="n">
        <v>171</v>
      </c>
      <c r="H88" s="0" t="n">
        <v>116.6</v>
      </c>
      <c r="I88" s="0" t="n">
        <v>2.4</v>
      </c>
      <c r="J88" s="0" t="n">
        <v>1.4</v>
      </c>
      <c r="K88" s="0" t="n">
        <v>1</v>
      </c>
      <c r="L88" s="0" t="n">
        <v>1</v>
      </c>
      <c r="M88" s="0" t="n">
        <v>0</v>
      </c>
      <c r="N88" s="0" t="n">
        <v>0</v>
      </c>
      <c r="O88" s="0" t="s">
        <v>401</v>
      </c>
      <c r="P88" s="0" t="s">
        <v>486</v>
      </c>
    </row>
    <row r="89" customFormat="false" ht="15" hidden="false" customHeight="false" outlineLevel="0" collapsed="false">
      <c r="A89" s="0" t="s">
        <v>317</v>
      </c>
      <c r="B89" s="0" t="s">
        <v>182</v>
      </c>
      <c r="C89" s="0" t="s">
        <v>257</v>
      </c>
      <c r="D89" s="0" t="s">
        <v>184</v>
      </c>
      <c r="E89" s="0" t="s">
        <v>418</v>
      </c>
      <c r="F89" s="0" t="n">
        <v>224.712</v>
      </c>
      <c r="G89" s="0" t="n">
        <v>211</v>
      </c>
      <c r="H89" s="0" t="n">
        <v>156</v>
      </c>
      <c r="I89" s="0" t="n">
        <v>-13.7</v>
      </c>
      <c r="J89" s="0" t="n">
        <v>-6.1</v>
      </c>
      <c r="K89" s="0" t="n">
        <v>0</v>
      </c>
      <c r="L89" s="0" t="n">
        <v>0</v>
      </c>
      <c r="M89" s="0" t="n">
        <v>0</v>
      </c>
      <c r="N89" s="0" t="n">
        <v>0</v>
      </c>
      <c r="O89" s="0" t="s">
        <v>401</v>
      </c>
      <c r="P89" s="0" t="s">
        <v>487</v>
      </c>
    </row>
    <row r="90" customFormat="false" ht="15" hidden="false" customHeight="false" outlineLevel="0" collapsed="false">
      <c r="A90" s="0" t="s">
        <v>318</v>
      </c>
      <c r="B90" s="0" t="s">
        <v>140</v>
      </c>
      <c r="C90" s="0" t="s">
        <v>259</v>
      </c>
      <c r="D90" s="0" t="s">
        <v>142</v>
      </c>
      <c r="E90" s="0" t="s">
        <v>418</v>
      </c>
      <c r="F90" s="0" t="n">
        <v>197.845</v>
      </c>
      <c r="G90" s="0" t="n">
        <v>204</v>
      </c>
      <c r="H90" s="0" t="n">
        <v>134.4</v>
      </c>
      <c r="I90" s="0" t="n">
        <v>6.2</v>
      </c>
      <c r="J90" s="0" t="n">
        <v>3.1</v>
      </c>
      <c r="K90" s="0" t="n">
        <v>0</v>
      </c>
      <c r="L90" s="0" t="n">
        <v>0</v>
      </c>
      <c r="M90" s="0" t="n">
        <v>0</v>
      </c>
      <c r="N90" s="0" t="n">
        <v>0</v>
      </c>
      <c r="O90" s="0" t="s">
        <v>401</v>
      </c>
      <c r="P90" s="0" t="s">
        <v>488</v>
      </c>
    </row>
    <row r="91" customFormat="false" ht="15" hidden="false" customHeight="false" outlineLevel="0" collapsed="false">
      <c r="A91" s="0" t="s">
        <v>318</v>
      </c>
      <c r="B91" s="0" t="s">
        <v>157</v>
      </c>
      <c r="C91" s="0" t="s">
        <v>259</v>
      </c>
      <c r="D91" s="0" t="s">
        <v>159</v>
      </c>
      <c r="E91" s="0" t="s">
        <v>418</v>
      </c>
      <c r="F91" s="0" t="n">
        <v>211.379</v>
      </c>
      <c r="G91" s="0" t="n">
        <v>212</v>
      </c>
      <c r="H91" s="0" t="n">
        <v>148.8</v>
      </c>
      <c r="I91" s="0" t="n">
        <v>0.6</v>
      </c>
      <c r="J91" s="0" t="n">
        <v>0.3</v>
      </c>
      <c r="K91" s="0" t="n">
        <v>0</v>
      </c>
      <c r="L91" s="0" t="n">
        <v>0</v>
      </c>
      <c r="M91" s="0" t="n">
        <v>0</v>
      </c>
      <c r="N91" s="0" t="n">
        <v>0</v>
      </c>
      <c r="O91" s="0" t="s">
        <v>401</v>
      </c>
      <c r="P91" s="0" t="s">
        <v>489</v>
      </c>
    </row>
    <row r="92" customFormat="false" ht="15" hidden="false" customHeight="false" outlineLevel="0" collapsed="false">
      <c r="A92" s="0" t="s">
        <v>318</v>
      </c>
      <c r="B92" s="0" t="s">
        <v>160</v>
      </c>
      <c r="C92" s="0" t="s">
        <v>259</v>
      </c>
      <c r="D92" s="0" t="s">
        <v>162</v>
      </c>
      <c r="E92" s="0" t="s">
        <v>418</v>
      </c>
      <c r="F92" s="0" t="n">
        <v>207.99</v>
      </c>
      <c r="G92" s="0" t="n">
        <v>209</v>
      </c>
      <c r="H92" s="0" t="n">
        <v>138.5</v>
      </c>
      <c r="I92" s="0" t="n">
        <v>1</v>
      </c>
      <c r="J92" s="0" t="n">
        <v>0.5</v>
      </c>
      <c r="K92" s="0" t="n">
        <v>0</v>
      </c>
      <c r="L92" s="0" t="n">
        <v>0</v>
      </c>
      <c r="M92" s="0" t="n">
        <v>0</v>
      </c>
      <c r="N92" s="0" t="n">
        <v>0</v>
      </c>
      <c r="O92" s="0" t="s">
        <v>401</v>
      </c>
      <c r="P92" s="0" t="s">
        <v>490</v>
      </c>
    </row>
    <row r="93" customFormat="false" ht="15" hidden="false" customHeight="false" outlineLevel="0" collapsed="false">
      <c r="A93" s="0" t="s">
        <v>318</v>
      </c>
      <c r="B93" s="0" t="s">
        <v>163</v>
      </c>
      <c r="C93" s="0" t="s">
        <v>259</v>
      </c>
      <c r="D93" s="0" t="s">
        <v>165</v>
      </c>
      <c r="E93" s="0" t="s">
        <v>418</v>
      </c>
      <c r="F93" s="0" t="n">
        <v>229.505</v>
      </c>
      <c r="G93" s="0" t="n">
        <v>231</v>
      </c>
      <c r="H93" s="0" t="n">
        <v>156.5</v>
      </c>
      <c r="I93" s="0" t="n">
        <v>1.5</v>
      </c>
      <c r="J93" s="0" t="n">
        <v>0.7</v>
      </c>
      <c r="K93" s="0" t="n">
        <v>0</v>
      </c>
      <c r="L93" s="0" t="n">
        <v>0</v>
      </c>
      <c r="M93" s="0" t="n">
        <v>0</v>
      </c>
      <c r="N93" s="0" t="n">
        <v>0</v>
      </c>
      <c r="O93" s="0" t="s">
        <v>401</v>
      </c>
      <c r="P93" s="0" t="s">
        <v>491</v>
      </c>
    </row>
    <row r="94" customFormat="false" ht="15" hidden="false" customHeight="false" outlineLevel="0" collapsed="false">
      <c r="A94" s="0" t="s">
        <v>318</v>
      </c>
      <c r="B94" s="0" t="s">
        <v>166</v>
      </c>
      <c r="C94" s="0" t="s">
        <v>259</v>
      </c>
      <c r="D94" s="0" t="s">
        <v>168</v>
      </c>
      <c r="E94" s="0" t="s">
        <v>418</v>
      </c>
      <c r="F94" s="0" t="n">
        <v>177.633</v>
      </c>
      <c r="G94" s="0" t="n">
        <v>180</v>
      </c>
      <c r="H94" s="0" t="n">
        <v>117.9</v>
      </c>
      <c r="I94" s="0" t="n">
        <v>2.4</v>
      </c>
      <c r="J94" s="0" t="n">
        <v>1.3</v>
      </c>
      <c r="K94" s="0" t="n">
        <v>1</v>
      </c>
      <c r="L94" s="0" t="n">
        <v>1</v>
      </c>
      <c r="M94" s="0" t="n">
        <v>0</v>
      </c>
      <c r="N94" s="0" t="n">
        <v>0</v>
      </c>
      <c r="O94" s="0" t="s">
        <v>401</v>
      </c>
      <c r="P94" s="0" t="s">
        <v>492</v>
      </c>
    </row>
    <row r="95" customFormat="false" ht="15" hidden="false" customHeight="false" outlineLevel="0" collapsed="false">
      <c r="A95" s="0" t="s">
        <v>318</v>
      </c>
      <c r="B95" s="0" t="s">
        <v>169</v>
      </c>
      <c r="C95" s="0" t="s">
        <v>259</v>
      </c>
      <c r="D95" s="0" t="s">
        <v>171</v>
      </c>
      <c r="E95" s="0" t="s">
        <v>418</v>
      </c>
      <c r="F95" s="0" t="n">
        <v>215.583</v>
      </c>
      <c r="G95" s="0" t="n">
        <v>216</v>
      </c>
      <c r="H95" s="0" t="n">
        <v>146</v>
      </c>
      <c r="I95" s="0" t="n">
        <v>0.4</v>
      </c>
      <c r="J95" s="0" t="n">
        <v>0.2</v>
      </c>
      <c r="K95" s="0" t="n">
        <v>0</v>
      </c>
      <c r="L95" s="0" t="n">
        <v>0</v>
      </c>
      <c r="M95" s="0" t="n">
        <v>0</v>
      </c>
      <c r="N95" s="0" t="n">
        <v>0</v>
      </c>
      <c r="O95" s="0" t="s">
        <v>401</v>
      </c>
      <c r="P95" s="0" t="s">
        <v>493</v>
      </c>
    </row>
    <row r="96" customFormat="false" ht="15" hidden="false" customHeight="false" outlineLevel="0" collapsed="false">
      <c r="A96" s="0" t="s">
        <v>318</v>
      </c>
      <c r="B96" s="0" t="s">
        <v>172</v>
      </c>
      <c r="C96" s="0" t="s">
        <v>259</v>
      </c>
      <c r="D96" s="0" t="s">
        <v>174</v>
      </c>
      <c r="E96" s="0" t="s">
        <v>418</v>
      </c>
      <c r="F96" s="0" t="n">
        <v>168.607</v>
      </c>
      <c r="G96" s="0" t="n">
        <v>169</v>
      </c>
      <c r="H96" s="0" t="n">
        <v>109.8</v>
      </c>
      <c r="I96" s="0" t="n">
        <v>0.4</v>
      </c>
      <c r="J96" s="0" t="n">
        <v>0.2</v>
      </c>
      <c r="K96" s="0" t="n">
        <v>1</v>
      </c>
      <c r="L96" s="0" t="n">
        <v>1</v>
      </c>
      <c r="M96" s="0" t="n">
        <v>0</v>
      </c>
      <c r="N96" s="0" t="n">
        <v>0</v>
      </c>
      <c r="O96" s="0" t="s">
        <v>401</v>
      </c>
      <c r="P96" s="0" t="s">
        <v>494</v>
      </c>
    </row>
    <row r="97" customFormat="false" ht="15" hidden="false" customHeight="false" outlineLevel="0" collapsed="false">
      <c r="A97" s="0" t="s">
        <v>318</v>
      </c>
      <c r="B97" s="0" t="s">
        <v>175</v>
      </c>
      <c r="C97" s="0" t="s">
        <v>259</v>
      </c>
      <c r="D97" s="0" t="s">
        <v>177</v>
      </c>
      <c r="E97" s="0" t="s">
        <v>418</v>
      </c>
      <c r="F97" s="0" t="n">
        <v>180.32</v>
      </c>
      <c r="G97" s="0" t="n">
        <v>181</v>
      </c>
      <c r="H97" s="0" t="n">
        <v>112.7</v>
      </c>
      <c r="I97" s="0" t="n">
        <v>0.7</v>
      </c>
      <c r="J97" s="0" t="n">
        <v>0.4</v>
      </c>
      <c r="K97" s="0" t="n">
        <v>0</v>
      </c>
      <c r="L97" s="0" t="n">
        <v>0</v>
      </c>
      <c r="M97" s="0" t="n">
        <v>0</v>
      </c>
      <c r="N97" s="0" t="n">
        <v>0</v>
      </c>
      <c r="O97" s="0" t="s">
        <v>401</v>
      </c>
      <c r="P97" s="0" t="s">
        <v>495</v>
      </c>
    </row>
    <row r="98" customFormat="false" ht="15" hidden="false" customHeight="false" outlineLevel="0" collapsed="false">
      <c r="A98" s="0" t="s">
        <v>318</v>
      </c>
      <c r="B98" s="0" t="s">
        <v>185</v>
      </c>
      <c r="C98" s="0" t="s">
        <v>259</v>
      </c>
      <c r="D98" s="0" t="s">
        <v>187</v>
      </c>
      <c r="E98" s="0" t="s">
        <v>418</v>
      </c>
      <c r="F98" s="0" t="n">
        <v>203.913</v>
      </c>
      <c r="G98" s="0" t="n">
        <v>217</v>
      </c>
      <c r="H98" s="0" t="n">
        <v>122.8</v>
      </c>
      <c r="I98" s="0" t="n">
        <v>13.1</v>
      </c>
      <c r="J98" s="0" t="n">
        <v>6.4</v>
      </c>
      <c r="K98" s="0" t="n">
        <v>0</v>
      </c>
      <c r="L98" s="0" t="n">
        <v>0</v>
      </c>
      <c r="M98" s="0" t="n">
        <v>0</v>
      </c>
      <c r="N98" s="0" t="n">
        <v>0</v>
      </c>
      <c r="O98" s="0" t="s">
        <v>401</v>
      </c>
      <c r="P98" s="0" t="s">
        <v>496</v>
      </c>
    </row>
    <row r="99" customFormat="false" ht="15" hidden="false" customHeight="false" outlineLevel="0" collapsed="false">
      <c r="A99" s="0" t="s">
        <v>319</v>
      </c>
      <c r="B99" s="0" t="s">
        <v>145</v>
      </c>
      <c r="C99" s="0" t="s">
        <v>261</v>
      </c>
      <c r="D99" s="0" t="s">
        <v>147</v>
      </c>
      <c r="E99" s="0" t="s">
        <v>418</v>
      </c>
      <c r="F99" s="0" t="n">
        <v>171.55</v>
      </c>
      <c r="G99" s="0" t="n">
        <v>172</v>
      </c>
      <c r="H99" s="0" t="n">
        <v>131.1</v>
      </c>
      <c r="I99" s="0" t="n">
        <v>0.4</v>
      </c>
      <c r="J99" s="0" t="n">
        <v>0.3</v>
      </c>
      <c r="K99" s="0" t="n">
        <v>1</v>
      </c>
      <c r="L99" s="0" t="n">
        <v>1</v>
      </c>
      <c r="M99" s="0" t="n">
        <v>0</v>
      </c>
      <c r="N99" s="0" t="n">
        <v>0</v>
      </c>
      <c r="O99" s="0" t="s">
        <v>401</v>
      </c>
      <c r="P99" s="0" t="s">
        <v>497</v>
      </c>
    </row>
    <row r="100" customFormat="false" ht="15" hidden="false" customHeight="false" outlineLevel="0" collapsed="false">
      <c r="A100" s="0" t="s">
        <v>319</v>
      </c>
      <c r="B100" s="0" t="s">
        <v>154</v>
      </c>
      <c r="C100" s="0" t="s">
        <v>261</v>
      </c>
      <c r="D100" s="0" t="s">
        <v>156</v>
      </c>
      <c r="E100" s="0" t="s">
        <v>418</v>
      </c>
      <c r="F100" s="0" t="n">
        <v>196.278</v>
      </c>
      <c r="G100" s="0" t="n">
        <v>197</v>
      </c>
      <c r="H100" s="0" t="n">
        <v>154.3</v>
      </c>
      <c r="I100" s="0" t="n">
        <v>0.7</v>
      </c>
      <c r="J100" s="0" t="n">
        <v>0.4</v>
      </c>
      <c r="K100" s="0" t="n">
        <v>0</v>
      </c>
      <c r="L100" s="0" t="n">
        <v>0</v>
      </c>
      <c r="M100" s="0" t="n">
        <v>0</v>
      </c>
      <c r="N100" s="0" t="n">
        <v>0</v>
      </c>
      <c r="O100" s="0" t="s">
        <v>401</v>
      </c>
      <c r="P100" s="0" t="s">
        <v>498</v>
      </c>
    </row>
    <row r="101" customFormat="false" ht="15" hidden="false" customHeight="false" outlineLevel="0" collapsed="false">
      <c r="A101" s="0" t="s">
        <v>319</v>
      </c>
      <c r="B101" s="0" t="s">
        <v>166</v>
      </c>
      <c r="C101" s="0" t="s">
        <v>261</v>
      </c>
      <c r="D101" s="0" t="s">
        <v>168</v>
      </c>
      <c r="E101" s="0" t="s">
        <v>418</v>
      </c>
      <c r="F101" s="0" t="n">
        <v>222.751</v>
      </c>
      <c r="G101" s="0" t="n">
        <v>254</v>
      </c>
      <c r="H101" s="0" t="n">
        <v>175.3</v>
      </c>
      <c r="I101" s="0" t="n">
        <v>31.2</v>
      </c>
      <c r="J101" s="0" t="n">
        <v>14</v>
      </c>
      <c r="K101" s="0" t="n">
        <v>0</v>
      </c>
      <c r="L101" s="0" t="n">
        <v>0</v>
      </c>
      <c r="M101" s="0" t="n">
        <v>0</v>
      </c>
      <c r="N101" s="0" t="n">
        <v>1</v>
      </c>
      <c r="O101" s="0" t="s">
        <v>401</v>
      </c>
      <c r="P101" s="0" t="s">
        <v>499</v>
      </c>
    </row>
    <row r="102" customFormat="false" ht="15" hidden="false" customHeight="false" outlineLevel="0" collapsed="false">
      <c r="A102" s="0" t="s">
        <v>319</v>
      </c>
      <c r="B102" s="0" t="s">
        <v>172</v>
      </c>
      <c r="C102" s="0" t="s">
        <v>261</v>
      </c>
      <c r="D102" s="0" t="s">
        <v>174</v>
      </c>
      <c r="E102" s="0" t="s">
        <v>418</v>
      </c>
      <c r="F102" s="0" t="n">
        <v>213.725</v>
      </c>
      <c r="G102" s="0" t="n">
        <v>214</v>
      </c>
      <c r="H102" s="0" t="n">
        <v>169.1</v>
      </c>
      <c r="I102" s="0" t="n">
        <v>0.3</v>
      </c>
      <c r="J102" s="0" t="n">
        <v>0.1</v>
      </c>
      <c r="K102" s="0" t="n">
        <v>0</v>
      </c>
      <c r="L102" s="0" t="n">
        <v>0</v>
      </c>
      <c r="M102" s="0" t="n">
        <v>0</v>
      </c>
      <c r="N102" s="0" t="n">
        <v>0</v>
      </c>
      <c r="O102" s="0" t="s">
        <v>401</v>
      </c>
      <c r="P102" s="0" t="s">
        <v>500</v>
      </c>
    </row>
    <row r="103" customFormat="false" ht="15" hidden="false" customHeight="false" outlineLevel="0" collapsed="false">
      <c r="A103" s="0" t="s">
        <v>319</v>
      </c>
      <c r="B103" s="0" t="s">
        <v>175</v>
      </c>
      <c r="C103" s="0" t="s">
        <v>261</v>
      </c>
      <c r="D103" s="0" t="s">
        <v>177</v>
      </c>
      <c r="E103" s="0" t="s">
        <v>418</v>
      </c>
      <c r="F103" s="0" t="n">
        <v>225.438</v>
      </c>
      <c r="G103" s="0" t="n">
        <v>226</v>
      </c>
      <c r="H103" s="0" t="n">
        <v>169</v>
      </c>
      <c r="I103" s="0" t="n">
        <v>0.6</v>
      </c>
      <c r="J103" s="0" t="n">
        <v>0.2</v>
      </c>
      <c r="K103" s="0" t="n">
        <v>0</v>
      </c>
      <c r="L103" s="0" t="n">
        <v>0</v>
      </c>
      <c r="M103" s="0" t="n">
        <v>0</v>
      </c>
      <c r="N103" s="0" t="n">
        <v>0</v>
      </c>
      <c r="O103" s="0" t="s">
        <v>401</v>
      </c>
      <c r="P103" s="0" t="s">
        <v>501</v>
      </c>
    </row>
    <row r="104" customFormat="false" ht="15" hidden="false" customHeight="false" outlineLevel="0" collapsed="false">
      <c r="A104" s="36" t="s">
        <v>319</v>
      </c>
      <c r="B104" s="36" t="s">
        <v>191</v>
      </c>
      <c r="C104" s="36" t="s">
        <v>261</v>
      </c>
      <c r="D104" s="36" t="s">
        <v>193</v>
      </c>
      <c r="E104" s="36" t="s">
        <v>418</v>
      </c>
      <c r="F104" s="36" t="n">
        <v>212.943</v>
      </c>
      <c r="G104" s="36" t="n">
        <v>165</v>
      </c>
      <c r="H104" s="36" t="n">
        <v>103.5</v>
      </c>
      <c r="I104" s="36" t="n">
        <v>-47.9</v>
      </c>
      <c r="J104" s="36" t="n">
        <v>-22.5</v>
      </c>
      <c r="K104" s="36" t="n">
        <v>0</v>
      </c>
      <c r="L104" s="36" t="n">
        <v>1</v>
      </c>
      <c r="M104" s="36" t="n">
        <v>1</v>
      </c>
      <c r="N104" s="36" t="n">
        <v>1</v>
      </c>
      <c r="O104" s="36" t="s">
        <v>401</v>
      </c>
      <c r="P104" s="36" t="s">
        <v>502</v>
      </c>
    </row>
    <row r="105" customFormat="false" ht="15" hidden="false" customHeight="false" outlineLevel="0" collapsed="false">
      <c r="A105" s="0" t="s">
        <v>320</v>
      </c>
      <c r="B105" s="0" t="s">
        <v>148</v>
      </c>
      <c r="C105" s="0" t="s">
        <v>263</v>
      </c>
      <c r="D105" s="0" t="s">
        <v>150</v>
      </c>
      <c r="E105" s="0" t="s">
        <v>418</v>
      </c>
      <c r="F105" s="0" t="n">
        <v>178.307</v>
      </c>
      <c r="G105" s="0" t="n">
        <v>180</v>
      </c>
      <c r="H105" s="0" t="n">
        <v>149.9</v>
      </c>
      <c r="I105" s="0" t="n">
        <v>1.7</v>
      </c>
      <c r="J105" s="0" t="n">
        <v>0.9</v>
      </c>
      <c r="K105" s="0" t="n">
        <v>1</v>
      </c>
      <c r="L105" s="0" t="n">
        <v>1</v>
      </c>
      <c r="M105" s="0" t="n">
        <v>0</v>
      </c>
      <c r="N105" s="0" t="n">
        <v>0</v>
      </c>
      <c r="O105" s="0" t="s">
        <v>401</v>
      </c>
      <c r="P105" s="0" t="s">
        <v>503</v>
      </c>
    </row>
    <row r="106" customFormat="false" ht="15" hidden="false" customHeight="false" outlineLevel="0" collapsed="false">
      <c r="A106" s="0" t="s">
        <v>320</v>
      </c>
      <c r="B106" s="0" t="s">
        <v>163</v>
      </c>
      <c r="C106" s="0" t="s">
        <v>263</v>
      </c>
      <c r="D106" s="0" t="s">
        <v>165</v>
      </c>
      <c r="E106" s="0" t="s">
        <v>418</v>
      </c>
      <c r="F106" s="0" t="n">
        <v>169.154</v>
      </c>
      <c r="G106" s="0" t="n">
        <v>172</v>
      </c>
      <c r="H106" s="0" t="n">
        <v>135.3</v>
      </c>
      <c r="I106" s="0" t="n">
        <v>2.8</v>
      </c>
      <c r="J106" s="0" t="n">
        <v>1.7</v>
      </c>
      <c r="K106" s="0" t="n">
        <v>1</v>
      </c>
      <c r="L106" s="0" t="n">
        <v>1</v>
      </c>
      <c r="M106" s="0" t="n">
        <v>0</v>
      </c>
      <c r="N106" s="0" t="n">
        <v>0</v>
      </c>
      <c r="O106" s="0" t="s">
        <v>401</v>
      </c>
      <c r="P106" s="0" t="s">
        <v>504</v>
      </c>
    </row>
    <row r="107" customFormat="false" ht="15" hidden="false" customHeight="false" outlineLevel="0" collapsed="false">
      <c r="A107" s="0" t="s">
        <v>320</v>
      </c>
      <c r="B107" s="0" t="s">
        <v>185</v>
      </c>
      <c r="C107" s="0" t="s">
        <v>263</v>
      </c>
      <c r="D107" s="0" t="s">
        <v>187</v>
      </c>
      <c r="E107" s="0" t="s">
        <v>418</v>
      </c>
      <c r="F107" s="0" t="n">
        <v>219.522</v>
      </c>
      <c r="G107" s="0" t="n">
        <v>224</v>
      </c>
      <c r="H107" s="0" t="n">
        <v>139.4</v>
      </c>
      <c r="I107" s="0" t="n">
        <v>4.5</v>
      </c>
      <c r="J107" s="0" t="n">
        <v>2</v>
      </c>
      <c r="K107" s="0" t="n">
        <v>0</v>
      </c>
      <c r="L107" s="0" t="n">
        <v>0</v>
      </c>
      <c r="M107" s="0" t="n">
        <v>0</v>
      </c>
      <c r="N107" s="0" t="n">
        <v>0</v>
      </c>
      <c r="O107" s="0" t="s">
        <v>401</v>
      </c>
      <c r="P107" s="0" t="s">
        <v>505</v>
      </c>
    </row>
    <row r="108" customFormat="false" ht="15" hidden="false" customHeight="false" outlineLevel="0" collapsed="false">
      <c r="A108" s="0" t="s">
        <v>321</v>
      </c>
      <c r="B108" s="0" t="s">
        <v>148</v>
      </c>
      <c r="C108" s="0" t="s">
        <v>265</v>
      </c>
      <c r="D108" s="0" t="s">
        <v>150</v>
      </c>
      <c r="E108" s="0" t="s">
        <v>418</v>
      </c>
      <c r="F108" s="0" t="n">
        <v>186.706</v>
      </c>
      <c r="G108" s="0" t="n">
        <v>188</v>
      </c>
      <c r="H108" s="0" t="n">
        <v>158.5</v>
      </c>
      <c r="I108" s="0" t="n">
        <v>1.3</v>
      </c>
      <c r="J108" s="0" t="n">
        <v>0.7</v>
      </c>
      <c r="K108" s="0" t="n">
        <v>0</v>
      </c>
      <c r="L108" s="0" t="n">
        <v>0</v>
      </c>
      <c r="M108" s="0" t="n">
        <v>0</v>
      </c>
      <c r="N108" s="0" t="n">
        <v>0</v>
      </c>
      <c r="O108" s="0" t="s">
        <v>401</v>
      </c>
      <c r="P108" s="0" t="s">
        <v>506</v>
      </c>
    </row>
    <row r="109" customFormat="false" ht="15" hidden="false" customHeight="false" outlineLevel="0" collapsed="false">
      <c r="A109" s="0" t="s">
        <v>321</v>
      </c>
      <c r="B109" s="0" t="s">
        <v>163</v>
      </c>
      <c r="C109" s="0" t="s">
        <v>265</v>
      </c>
      <c r="D109" s="0" t="s">
        <v>165</v>
      </c>
      <c r="E109" s="0" t="s">
        <v>418</v>
      </c>
      <c r="F109" s="0" t="n">
        <v>177.552</v>
      </c>
      <c r="G109" s="0" t="n">
        <v>180</v>
      </c>
      <c r="H109" s="0" t="n">
        <v>143.8</v>
      </c>
      <c r="I109" s="0" t="n">
        <v>2.4</v>
      </c>
      <c r="J109" s="0" t="n">
        <v>1.4</v>
      </c>
      <c r="K109" s="0" t="n">
        <v>1</v>
      </c>
      <c r="L109" s="0" t="n">
        <v>1</v>
      </c>
      <c r="M109" s="0" t="n">
        <v>0</v>
      </c>
      <c r="N109" s="0" t="n">
        <v>0</v>
      </c>
      <c r="O109" s="0" t="s">
        <v>401</v>
      </c>
      <c r="P109" s="0" t="s">
        <v>507</v>
      </c>
    </row>
    <row r="110" customFormat="false" ht="15" hidden="false" customHeight="false" outlineLevel="0" collapsed="false">
      <c r="A110" s="0" t="s">
        <v>321</v>
      </c>
      <c r="B110" s="0" t="s">
        <v>169</v>
      </c>
      <c r="C110" s="0" t="s">
        <v>265</v>
      </c>
      <c r="D110" s="0" t="s">
        <v>171</v>
      </c>
      <c r="E110" s="0" t="s">
        <v>418</v>
      </c>
      <c r="F110" s="0" t="n">
        <v>163.63</v>
      </c>
      <c r="G110" s="0" t="n">
        <v>165</v>
      </c>
      <c r="H110" s="0" t="n">
        <v>133.4</v>
      </c>
      <c r="I110" s="0" t="n">
        <v>1.4</v>
      </c>
      <c r="J110" s="0" t="n">
        <v>0.8</v>
      </c>
      <c r="K110" s="0" t="n">
        <v>1</v>
      </c>
      <c r="L110" s="0" t="n">
        <v>1</v>
      </c>
      <c r="M110" s="0" t="n">
        <v>0</v>
      </c>
      <c r="N110" s="0" t="n">
        <v>0</v>
      </c>
      <c r="O110" s="0" t="s">
        <v>401</v>
      </c>
      <c r="P110" s="0" t="s">
        <v>508</v>
      </c>
    </row>
    <row r="111" customFormat="false" ht="15" hidden="false" customHeight="false" outlineLevel="0" collapsed="false">
      <c r="A111" s="0" t="s">
        <v>321</v>
      </c>
      <c r="B111" s="0" t="s">
        <v>185</v>
      </c>
      <c r="C111" s="0" t="s">
        <v>265</v>
      </c>
      <c r="D111" s="0" t="s">
        <v>187</v>
      </c>
      <c r="E111" s="0" t="s">
        <v>418</v>
      </c>
      <c r="F111" s="0" t="n">
        <v>201.511</v>
      </c>
      <c r="G111" s="0" t="n">
        <v>216</v>
      </c>
      <c r="H111" s="0" t="n">
        <v>131</v>
      </c>
      <c r="I111" s="0" t="n">
        <v>14.5</v>
      </c>
      <c r="J111" s="0" t="n">
        <v>7.2</v>
      </c>
      <c r="K111" s="0" t="n">
        <v>0</v>
      </c>
      <c r="L111" s="0" t="n">
        <v>0</v>
      </c>
      <c r="M111" s="0" t="n">
        <v>0</v>
      </c>
      <c r="N111" s="0" t="n">
        <v>0</v>
      </c>
      <c r="O111" s="0" t="s">
        <v>401</v>
      </c>
      <c r="P111" s="0" t="s">
        <v>509</v>
      </c>
    </row>
    <row r="112" customFormat="false" ht="15" hidden="false" customHeight="false" outlineLevel="0" collapsed="false">
      <c r="A112" s="0" t="s">
        <v>322</v>
      </c>
      <c r="B112" s="0" t="s">
        <v>178</v>
      </c>
      <c r="C112" s="0" t="s">
        <v>267</v>
      </c>
      <c r="D112" s="0" t="s">
        <v>180</v>
      </c>
      <c r="E112" s="0" t="s">
        <v>418</v>
      </c>
      <c r="F112" s="0" t="n">
        <v>204.478</v>
      </c>
      <c r="G112" s="0" t="n">
        <v>207</v>
      </c>
      <c r="H112" s="0" t="n">
        <v>164.5</v>
      </c>
      <c r="I112" s="0" t="n">
        <v>2.5</v>
      </c>
      <c r="J112" s="0" t="n">
        <v>1.2</v>
      </c>
      <c r="K112" s="0" t="n">
        <v>0</v>
      </c>
      <c r="L112" s="0" t="n">
        <v>0</v>
      </c>
      <c r="M112" s="0" t="n">
        <v>0</v>
      </c>
      <c r="N112" s="0" t="n">
        <v>0</v>
      </c>
      <c r="O112" s="0" t="s">
        <v>401</v>
      </c>
      <c r="P112" s="0" t="s">
        <v>510</v>
      </c>
    </row>
    <row r="113" customFormat="false" ht="15" hidden="false" customHeight="false" outlineLevel="0" collapsed="false">
      <c r="A113" s="0" t="s">
        <v>323</v>
      </c>
      <c r="B113" s="0" t="s">
        <v>182</v>
      </c>
      <c r="C113" s="0" t="s">
        <v>269</v>
      </c>
      <c r="D113" s="0" t="s">
        <v>184</v>
      </c>
      <c r="E113" s="0" t="s">
        <v>418</v>
      </c>
      <c r="F113" s="0" t="n">
        <v>160.954</v>
      </c>
      <c r="G113" s="0" t="n">
        <v>161</v>
      </c>
      <c r="H113" s="0" t="n">
        <v>126.2</v>
      </c>
      <c r="I113" s="0" t="n">
        <v>0</v>
      </c>
      <c r="J113" s="0" t="n">
        <v>0</v>
      </c>
      <c r="K113" s="0" t="n">
        <v>1</v>
      </c>
      <c r="L113" s="0" t="n">
        <v>1</v>
      </c>
      <c r="M113" s="0" t="n">
        <v>0</v>
      </c>
      <c r="N113" s="0" t="n">
        <v>0</v>
      </c>
      <c r="O113" s="0" t="s">
        <v>401</v>
      </c>
      <c r="P113" s="0" t="s">
        <v>511</v>
      </c>
    </row>
    <row r="114" customFormat="false" ht="15" hidden="false" customHeight="false" outlineLevel="0" collapsed="false">
      <c r="A114" s="0" t="s">
        <v>323</v>
      </c>
      <c r="B114" s="0" t="s">
        <v>185</v>
      </c>
      <c r="C114" s="0" t="s">
        <v>269</v>
      </c>
      <c r="D114" s="0" t="s">
        <v>187</v>
      </c>
      <c r="E114" s="0" t="s">
        <v>418</v>
      </c>
      <c r="F114" s="0" t="n">
        <v>225.921</v>
      </c>
      <c r="G114" s="0" t="n">
        <v>238</v>
      </c>
      <c r="H114" s="0" t="n">
        <v>151.6</v>
      </c>
      <c r="I114" s="0" t="n">
        <v>12.1</v>
      </c>
      <c r="J114" s="0" t="n">
        <v>5.3</v>
      </c>
      <c r="K114" s="0" t="n">
        <v>0</v>
      </c>
      <c r="L114" s="0" t="n">
        <v>0</v>
      </c>
      <c r="M114" s="0" t="n">
        <v>0</v>
      </c>
      <c r="N114" s="0" t="n">
        <v>0</v>
      </c>
      <c r="O114" s="0" t="s">
        <v>401</v>
      </c>
      <c r="P114" s="0" t="s">
        <v>512</v>
      </c>
    </row>
    <row r="115" customFormat="false" ht="15" hidden="false" customHeight="false" outlineLevel="0" collapsed="false">
      <c r="A115" s="0" t="s">
        <v>324</v>
      </c>
      <c r="B115" s="0" t="s">
        <v>148</v>
      </c>
      <c r="C115" s="0" t="s">
        <v>271</v>
      </c>
      <c r="D115" s="0" t="s">
        <v>150</v>
      </c>
      <c r="E115" s="0" t="s">
        <v>418</v>
      </c>
      <c r="F115" s="0" t="n">
        <v>166.681</v>
      </c>
      <c r="G115" s="0" t="n">
        <v>167</v>
      </c>
      <c r="H115" s="0" t="n">
        <v>131.1</v>
      </c>
      <c r="I115" s="0" t="n">
        <v>0.3</v>
      </c>
      <c r="J115" s="0" t="n">
        <v>0.2</v>
      </c>
      <c r="K115" s="0" t="n">
        <v>1</v>
      </c>
      <c r="L115" s="0" t="n">
        <v>1</v>
      </c>
      <c r="M115" s="0" t="n">
        <v>0</v>
      </c>
      <c r="N115" s="0" t="n">
        <v>0</v>
      </c>
      <c r="O115" s="0" t="s">
        <v>401</v>
      </c>
      <c r="P115" s="0" t="s">
        <v>513</v>
      </c>
    </row>
    <row r="116" customFormat="false" ht="15" hidden="false" customHeight="false" outlineLevel="0" collapsed="false">
      <c r="A116" s="0" t="s">
        <v>324</v>
      </c>
      <c r="B116" s="0" t="s">
        <v>182</v>
      </c>
      <c r="C116" s="0" t="s">
        <v>271</v>
      </c>
      <c r="D116" s="0" t="s">
        <v>184</v>
      </c>
      <c r="E116" s="0" t="s">
        <v>418</v>
      </c>
      <c r="F116" s="0" t="n">
        <v>196.322</v>
      </c>
      <c r="G116" s="0" t="n">
        <v>208</v>
      </c>
      <c r="H116" s="0" t="n">
        <v>134.5</v>
      </c>
      <c r="I116" s="0" t="n">
        <v>11.7</v>
      </c>
      <c r="J116" s="0" t="n">
        <v>5.9</v>
      </c>
      <c r="K116" s="0" t="n">
        <v>0</v>
      </c>
      <c r="L116" s="0" t="n">
        <v>0</v>
      </c>
      <c r="M116" s="0" t="n">
        <v>0</v>
      </c>
      <c r="N116" s="0" t="n">
        <v>0</v>
      </c>
      <c r="O116" s="0" t="s">
        <v>401</v>
      </c>
      <c r="P116" s="0" t="s">
        <v>514</v>
      </c>
    </row>
    <row r="117" customFormat="false" ht="15" hidden="false" customHeight="false" outlineLevel="0" collapsed="false">
      <c r="A117" s="0" t="s">
        <v>325</v>
      </c>
      <c r="B117" s="0" t="s">
        <v>140</v>
      </c>
      <c r="C117" s="0" t="s">
        <v>273</v>
      </c>
      <c r="D117" s="0" t="s">
        <v>142</v>
      </c>
      <c r="E117" s="0" t="s">
        <v>418</v>
      </c>
      <c r="F117" s="0" t="n">
        <v>226.666</v>
      </c>
      <c r="G117" s="0" t="n">
        <v>233</v>
      </c>
      <c r="H117" s="0" t="n">
        <v>137</v>
      </c>
      <c r="I117" s="0" t="n">
        <v>6.3</v>
      </c>
      <c r="J117" s="0" t="n">
        <v>2.8</v>
      </c>
      <c r="K117" s="0" t="n">
        <v>0</v>
      </c>
      <c r="L117" s="0" t="n">
        <v>0</v>
      </c>
      <c r="M117" s="0" t="n">
        <v>0</v>
      </c>
      <c r="N117" s="0" t="n">
        <v>0</v>
      </c>
      <c r="O117" s="0" t="s">
        <v>401</v>
      </c>
      <c r="P117" s="0" t="s">
        <v>515</v>
      </c>
    </row>
    <row r="118" customFormat="false" ht="15" hidden="false" customHeight="false" outlineLevel="0" collapsed="false">
      <c r="A118" s="36" t="s">
        <v>325</v>
      </c>
      <c r="B118" s="36" t="s">
        <v>154</v>
      </c>
      <c r="C118" s="36" t="s">
        <v>273</v>
      </c>
      <c r="D118" s="36" t="s">
        <v>156</v>
      </c>
      <c r="E118" s="36" t="s">
        <v>418</v>
      </c>
      <c r="F118" s="36" t="n">
        <v>179.981</v>
      </c>
      <c r="G118" s="36" t="n">
        <v>181</v>
      </c>
      <c r="H118" s="36" t="n">
        <v>96</v>
      </c>
      <c r="I118" s="36" t="n">
        <v>1</v>
      </c>
      <c r="J118" s="36" t="n">
        <v>0.6</v>
      </c>
      <c r="K118" s="36" t="n">
        <v>1</v>
      </c>
      <c r="L118" s="36" t="n">
        <v>0</v>
      </c>
      <c r="M118" s="36" t="n">
        <v>1</v>
      </c>
      <c r="N118" s="36" t="n">
        <v>0</v>
      </c>
      <c r="O118" s="36" t="s">
        <v>401</v>
      </c>
      <c r="P118" s="36" t="s">
        <v>516</v>
      </c>
    </row>
    <row r="119" customFormat="false" ht="15" hidden="false" customHeight="false" outlineLevel="0" collapsed="false">
      <c r="A119" s="0" t="s">
        <v>325</v>
      </c>
      <c r="B119" s="0" t="s">
        <v>166</v>
      </c>
      <c r="C119" s="0" t="s">
        <v>273</v>
      </c>
      <c r="D119" s="0" t="s">
        <v>168</v>
      </c>
      <c r="E119" s="0" t="s">
        <v>418</v>
      </c>
      <c r="F119" s="0" t="n">
        <v>206.454</v>
      </c>
      <c r="G119" s="0" t="n">
        <v>208</v>
      </c>
      <c r="H119" s="0" t="n">
        <v>120.1</v>
      </c>
      <c r="I119" s="0" t="n">
        <v>1.5</v>
      </c>
      <c r="J119" s="0" t="n">
        <v>0.7</v>
      </c>
      <c r="K119" s="0" t="n">
        <v>0</v>
      </c>
      <c r="L119" s="0" t="n">
        <v>0</v>
      </c>
      <c r="M119" s="0" t="n">
        <v>0</v>
      </c>
      <c r="N119" s="0" t="n">
        <v>0</v>
      </c>
      <c r="O119" s="0" t="s">
        <v>401</v>
      </c>
      <c r="P119" s="0" t="s">
        <v>517</v>
      </c>
    </row>
    <row r="120" customFormat="false" ht="15" hidden="false" customHeight="false" outlineLevel="0" collapsed="false">
      <c r="A120" s="0" t="s">
        <v>325</v>
      </c>
      <c r="B120" s="0" t="s">
        <v>172</v>
      </c>
      <c r="C120" s="0" t="s">
        <v>273</v>
      </c>
      <c r="D120" s="0" t="s">
        <v>174</v>
      </c>
      <c r="E120" s="0" t="s">
        <v>418</v>
      </c>
      <c r="F120" s="0" t="n">
        <v>197.429</v>
      </c>
      <c r="G120" s="0" t="n">
        <v>204</v>
      </c>
      <c r="H120" s="0" t="n">
        <v>111.7</v>
      </c>
      <c r="I120" s="0" t="n">
        <v>6.6</v>
      </c>
      <c r="J120" s="0" t="n">
        <v>3.3</v>
      </c>
      <c r="K120" s="0" t="n">
        <v>0</v>
      </c>
      <c r="L120" s="0" t="n">
        <v>0</v>
      </c>
      <c r="M120" s="0" t="n">
        <v>0</v>
      </c>
      <c r="N120" s="0" t="n">
        <v>0</v>
      </c>
      <c r="O120" s="0" t="s">
        <v>401</v>
      </c>
      <c r="P120" s="0" t="s">
        <v>518</v>
      </c>
    </row>
    <row r="121" customFormat="false" ht="15" hidden="false" customHeight="false" outlineLevel="0" collapsed="false">
      <c r="A121" s="0" t="s">
        <v>325</v>
      </c>
      <c r="B121" s="0" t="s">
        <v>175</v>
      </c>
      <c r="C121" s="0" t="s">
        <v>273</v>
      </c>
      <c r="D121" s="0" t="s">
        <v>177</v>
      </c>
      <c r="E121" s="0" t="s">
        <v>418</v>
      </c>
      <c r="F121" s="0" t="n">
        <v>209.142</v>
      </c>
      <c r="G121" s="0" t="n">
        <v>210</v>
      </c>
      <c r="H121" s="0" t="n">
        <v>115.4</v>
      </c>
      <c r="I121" s="0" t="n">
        <v>0.9</v>
      </c>
      <c r="J121" s="0" t="n">
        <v>0.4</v>
      </c>
      <c r="K121" s="0" t="n">
        <v>0</v>
      </c>
      <c r="L121" s="0" t="n">
        <v>0</v>
      </c>
      <c r="M121" s="0" t="n">
        <v>0</v>
      </c>
      <c r="N121" s="0" t="n">
        <v>0</v>
      </c>
      <c r="O121" s="0" t="s">
        <v>401</v>
      </c>
      <c r="P121" s="0" t="s">
        <v>519</v>
      </c>
    </row>
    <row r="122" customFormat="false" ht="15" hidden="false" customHeight="false" outlineLevel="0" collapsed="false">
      <c r="A122" s="0" t="s">
        <v>325</v>
      </c>
      <c r="B122" s="0" t="s">
        <v>182</v>
      </c>
      <c r="C122" s="0" t="s">
        <v>273</v>
      </c>
      <c r="D122" s="0" t="s">
        <v>184</v>
      </c>
      <c r="E122" s="0" t="s">
        <v>418</v>
      </c>
      <c r="F122" s="0" t="n">
        <v>167.768</v>
      </c>
      <c r="G122" s="0" t="n">
        <v>169</v>
      </c>
      <c r="H122" s="0" t="n">
        <v>99.2</v>
      </c>
      <c r="I122" s="0" t="n">
        <v>1.2</v>
      </c>
      <c r="J122" s="0" t="n">
        <v>0.7</v>
      </c>
      <c r="K122" s="0" t="n">
        <v>1</v>
      </c>
      <c r="L122" s="0" t="n">
        <v>1</v>
      </c>
      <c r="M122" s="0" t="n">
        <v>0</v>
      </c>
      <c r="N122" s="0" t="n">
        <v>0</v>
      </c>
      <c r="O122" s="0" t="s">
        <v>401</v>
      </c>
      <c r="P122" s="0" t="s">
        <v>520</v>
      </c>
    </row>
    <row r="123" customFormat="false" ht="15" hidden="false" customHeight="false" outlineLevel="0" collapsed="false">
      <c r="A123" s="0" t="s">
        <v>326</v>
      </c>
      <c r="B123" s="0" t="s">
        <v>140</v>
      </c>
      <c r="C123" s="0" t="s">
        <v>275</v>
      </c>
      <c r="D123" s="0" t="s">
        <v>142</v>
      </c>
      <c r="E123" s="0" t="s">
        <v>418</v>
      </c>
      <c r="F123" s="0" t="n">
        <v>171.725</v>
      </c>
      <c r="G123" s="0" t="n">
        <v>178</v>
      </c>
      <c r="H123" s="0" t="n">
        <v>144.6</v>
      </c>
      <c r="I123" s="0" t="n">
        <v>6.3</v>
      </c>
      <c r="J123" s="0" t="n">
        <v>3.7</v>
      </c>
      <c r="K123" s="0" t="n">
        <v>1</v>
      </c>
      <c r="L123" s="0" t="n">
        <v>1</v>
      </c>
      <c r="M123" s="0" t="n">
        <v>0</v>
      </c>
      <c r="N123" s="0" t="n">
        <v>0</v>
      </c>
      <c r="O123" s="0" t="s">
        <v>401</v>
      </c>
      <c r="P123" s="0" t="s">
        <v>521</v>
      </c>
    </row>
    <row r="124" customFormat="false" ht="15" hidden="false" customHeight="false" outlineLevel="0" collapsed="false">
      <c r="A124" s="0" t="s">
        <v>326</v>
      </c>
      <c r="B124" s="0" t="s">
        <v>148</v>
      </c>
      <c r="C124" s="0" t="s">
        <v>275</v>
      </c>
      <c r="D124" s="0" t="s">
        <v>150</v>
      </c>
      <c r="E124" s="0" t="s">
        <v>418</v>
      </c>
      <c r="F124" s="0" t="n">
        <v>212.539</v>
      </c>
      <c r="G124" s="0" t="n">
        <v>213</v>
      </c>
      <c r="H124" s="0" t="n">
        <v>181.3</v>
      </c>
      <c r="I124" s="0" t="n">
        <v>0.5</v>
      </c>
      <c r="J124" s="0" t="n">
        <v>0.2</v>
      </c>
      <c r="K124" s="0" t="n">
        <v>0</v>
      </c>
      <c r="L124" s="0" t="n">
        <v>0</v>
      </c>
      <c r="M124" s="0" t="n">
        <v>0</v>
      </c>
      <c r="N124" s="0" t="n">
        <v>0</v>
      </c>
      <c r="O124" s="0" t="s">
        <v>401</v>
      </c>
      <c r="P124" s="0" t="s">
        <v>522</v>
      </c>
    </row>
    <row r="125" customFormat="false" ht="15" hidden="false" customHeight="false" outlineLevel="0" collapsed="false">
      <c r="A125" s="0" t="s">
        <v>326</v>
      </c>
      <c r="B125" s="0" t="s">
        <v>157</v>
      </c>
      <c r="C125" s="0" t="s">
        <v>275</v>
      </c>
      <c r="D125" s="0" t="s">
        <v>159</v>
      </c>
      <c r="E125" s="0" t="s">
        <v>418</v>
      </c>
      <c r="F125" s="0" t="n">
        <v>185.259</v>
      </c>
      <c r="G125" s="0" t="n">
        <v>186</v>
      </c>
      <c r="H125" s="0" t="n">
        <v>159.1</v>
      </c>
      <c r="I125" s="0" t="n">
        <v>0.7</v>
      </c>
      <c r="J125" s="0" t="n">
        <v>0.4</v>
      </c>
      <c r="K125" s="0" t="n">
        <v>0</v>
      </c>
      <c r="L125" s="0" t="n">
        <v>0</v>
      </c>
      <c r="M125" s="0" t="n">
        <v>0</v>
      </c>
      <c r="N125" s="0" t="n">
        <v>0</v>
      </c>
      <c r="O125" s="0" t="s">
        <v>401</v>
      </c>
      <c r="P125" s="0" t="s">
        <v>523</v>
      </c>
    </row>
    <row r="126" customFormat="false" ht="15" hidden="false" customHeight="false" outlineLevel="0" collapsed="false">
      <c r="A126" s="0" t="s">
        <v>326</v>
      </c>
      <c r="B126" s="0" t="s">
        <v>160</v>
      </c>
      <c r="C126" s="0" t="s">
        <v>275</v>
      </c>
      <c r="D126" s="0" t="s">
        <v>162</v>
      </c>
      <c r="E126" s="0" t="s">
        <v>418</v>
      </c>
      <c r="F126" s="0" t="n">
        <v>181.87</v>
      </c>
      <c r="G126" s="0" t="n">
        <v>183</v>
      </c>
      <c r="H126" s="0" t="n">
        <v>150.5</v>
      </c>
      <c r="I126" s="0" t="n">
        <v>1.1</v>
      </c>
      <c r="J126" s="0" t="n">
        <v>0.6</v>
      </c>
      <c r="K126" s="0" t="n">
        <v>0</v>
      </c>
      <c r="L126" s="0" t="n">
        <v>0</v>
      </c>
      <c r="M126" s="0" t="n">
        <v>0</v>
      </c>
      <c r="N126" s="0" t="n">
        <v>0</v>
      </c>
      <c r="O126" s="0" t="s">
        <v>401</v>
      </c>
      <c r="P126" s="0" t="s">
        <v>524</v>
      </c>
    </row>
    <row r="127" customFormat="false" ht="15" hidden="false" customHeight="false" outlineLevel="0" collapsed="false">
      <c r="A127" s="0" t="s">
        <v>326</v>
      </c>
      <c r="B127" s="0" t="s">
        <v>163</v>
      </c>
      <c r="C127" s="0" t="s">
        <v>275</v>
      </c>
      <c r="D127" s="0" t="s">
        <v>165</v>
      </c>
      <c r="E127" s="0" t="s">
        <v>418</v>
      </c>
      <c r="F127" s="0" t="n">
        <v>203.385</v>
      </c>
      <c r="G127" s="0" t="n">
        <v>205</v>
      </c>
      <c r="H127" s="0" t="n">
        <v>165.7</v>
      </c>
      <c r="I127" s="0" t="n">
        <v>1.6</v>
      </c>
      <c r="J127" s="0" t="n">
        <v>0.8</v>
      </c>
      <c r="K127" s="0" t="n">
        <v>0</v>
      </c>
      <c r="L127" s="0" t="n">
        <v>0</v>
      </c>
      <c r="M127" s="0" t="n">
        <v>0</v>
      </c>
      <c r="N127" s="0" t="n">
        <v>0</v>
      </c>
      <c r="O127" s="0" t="s">
        <v>401</v>
      </c>
      <c r="P127" s="0" t="s">
        <v>525</v>
      </c>
    </row>
    <row r="128" customFormat="false" ht="15" hidden="false" customHeight="false" outlineLevel="0" collapsed="false">
      <c r="A128" s="0" t="s">
        <v>326</v>
      </c>
      <c r="B128" s="0" t="s">
        <v>169</v>
      </c>
      <c r="C128" s="0" t="s">
        <v>275</v>
      </c>
      <c r="D128" s="0" t="s">
        <v>171</v>
      </c>
      <c r="E128" s="0" t="s">
        <v>418</v>
      </c>
      <c r="F128" s="0" t="n">
        <v>189.463</v>
      </c>
      <c r="G128" s="0" t="n">
        <v>190</v>
      </c>
      <c r="H128" s="0" t="n">
        <v>155.4</v>
      </c>
      <c r="I128" s="0" t="n">
        <v>0.5</v>
      </c>
      <c r="J128" s="0" t="n">
        <v>0.3</v>
      </c>
      <c r="K128" s="0" t="n">
        <v>0</v>
      </c>
      <c r="L128" s="0" t="n">
        <v>0</v>
      </c>
      <c r="M128" s="0" t="n">
        <v>0</v>
      </c>
      <c r="N128" s="0" t="n">
        <v>0</v>
      </c>
      <c r="O128" s="0" t="s">
        <v>401</v>
      </c>
      <c r="P128" s="0" t="s">
        <v>526</v>
      </c>
    </row>
    <row r="129" customFormat="false" ht="15" hidden="false" customHeight="false" outlineLevel="0" collapsed="false">
      <c r="A129" s="36" t="s">
        <v>326</v>
      </c>
      <c r="B129" s="36" t="s">
        <v>185</v>
      </c>
      <c r="C129" s="36" t="s">
        <v>275</v>
      </c>
      <c r="D129" s="36" t="s">
        <v>187</v>
      </c>
      <c r="E129" s="36" t="s">
        <v>418</v>
      </c>
      <c r="F129" s="36" t="n">
        <v>177.793</v>
      </c>
      <c r="G129" s="36" t="n">
        <v>190</v>
      </c>
      <c r="H129" s="36" t="n">
        <v>108.4</v>
      </c>
      <c r="I129" s="36" t="n">
        <v>12.2</v>
      </c>
      <c r="J129" s="36" t="n">
        <v>6.9</v>
      </c>
      <c r="K129" s="36" t="n">
        <v>1</v>
      </c>
      <c r="L129" s="36" t="n">
        <v>0</v>
      </c>
      <c r="M129" s="36" t="n">
        <v>1</v>
      </c>
      <c r="N129" s="36" t="n">
        <v>0</v>
      </c>
      <c r="O129" s="36" t="s">
        <v>401</v>
      </c>
      <c r="P129" s="36" t="s">
        <v>527</v>
      </c>
    </row>
    <row r="130" customFormat="false" ht="15" hidden="false" customHeight="false" outlineLevel="0" collapsed="false">
      <c r="A130" s="36" t="s">
        <v>327</v>
      </c>
      <c r="B130" s="36" t="s">
        <v>151</v>
      </c>
      <c r="C130" s="36" t="s">
        <v>277</v>
      </c>
      <c r="D130" s="36" t="s">
        <v>153</v>
      </c>
      <c r="E130" s="36" t="s">
        <v>418</v>
      </c>
      <c r="F130" s="36" t="n">
        <v>176.67</v>
      </c>
      <c r="G130" s="36" t="n">
        <v>187</v>
      </c>
      <c r="H130" s="36" t="n">
        <v>140.9</v>
      </c>
      <c r="I130" s="36" t="n">
        <v>10.3</v>
      </c>
      <c r="J130" s="36" t="n">
        <v>5.8</v>
      </c>
      <c r="K130" s="36" t="n">
        <v>1</v>
      </c>
      <c r="L130" s="36" t="n">
        <v>0</v>
      </c>
      <c r="M130" s="36" t="n">
        <v>1</v>
      </c>
      <c r="N130" s="36" t="n">
        <v>0</v>
      </c>
      <c r="O130" s="36" t="s">
        <v>401</v>
      </c>
      <c r="P130" s="36" t="s">
        <v>528</v>
      </c>
    </row>
    <row r="131" customFormat="false" ht="15" hidden="false" customHeight="false" outlineLevel="0" collapsed="false">
      <c r="A131" s="0" t="s">
        <v>327</v>
      </c>
      <c r="B131" s="0" t="s">
        <v>195</v>
      </c>
      <c r="C131" s="0" t="s">
        <v>277</v>
      </c>
      <c r="D131" s="0" t="s">
        <v>197</v>
      </c>
      <c r="E131" s="0" t="s">
        <v>418</v>
      </c>
      <c r="F131" s="0" t="n">
        <v>160.04</v>
      </c>
      <c r="G131" s="0" t="n">
        <v>170</v>
      </c>
      <c r="H131" s="0" t="n">
        <v>124.5</v>
      </c>
      <c r="I131" s="0" t="n">
        <v>10</v>
      </c>
      <c r="J131" s="0" t="n">
        <v>6.2</v>
      </c>
      <c r="K131" s="0" t="n">
        <v>1</v>
      </c>
      <c r="L131" s="0" t="n">
        <v>1</v>
      </c>
      <c r="M131" s="0" t="n">
        <v>0</v>
      </c>
      <c r="N131" s="0" t="n">
        <v>0</v>
      </c>
      <c r="O131" s="0" t="s">
        <v>401</v>
      </c>
      <c r="P131" s="0" t="s">
        <v>529</v>
      </c>
    </row>
    <row r="132" customFormat="false" ht="15" hidden="false" customHeight="false" outlineLevel="0" collapsed="false">
      <c r="A132" s="0" t="s">
        <v>328</v>
      </c>
      <c r="B132" s="0" t="s">
        <v>140</v>
      </c>
      <c r="C132" s="0" t="s">
        <v>279</v>
      </c>
      <c r="D132" s="0" t="s">
        <v>142</v>
      </c>
      <c r="E132" s="0" t="s">
        <v>418</v>
      </c>
      <c r="F132" s="0" t="n">
        <v>184.354</v>
      </c>
      <c r="G132" s="0" t="n">
        <v>191</v>
      </c>
      <c r="H132" s="0" t="n">
        <v>158.7</v>
      </c>
      <c r="I132" s="0" t="n">
        <v>6.6</v>
      </c>
      <c r="J132" s="0" t="n">
        <v>3.6</v>
      </c>
      <c r="K132" s="0" t="n">
        <v>0</v>
      </c>
      <c r="L132" s="0" t="n">
        <v>0</v>
      </c>
      <c r="M132" s="0" t="n">
        <v>0</v>
      </c>
      <c r="N132" s="0" t="n">
        <v>0</v>
      </c>
      <c r="O132" s="0" t="s">
        <v>401</v>
      </c>
      <c r="P132" s="0" t="s">
        <v>530</v>
      </c>
    </row>
    <row r="133" customFormat="false" ht="15" hidden="false" customHeight="false" outlineLevel="0" collapsed="false">
      <c r="A133" s="0" t="s">
        <v>328</v>
      </c>
      <c r="B133" s="0" t="s">
        <v>148</v>
      </c>
      <c r="C133" s="0" t="s">
        <v>279</v>
      </c>
      <c r="D133" s="0" t="s">
        <v>150</v>
      </c>
      <c r="E133" s="0" t="s">
        <v>418</v>
      </c>
      <c r="F133" s="0" t="n">
        <v>225.168</v>
      </c>
      <c r="G133" s="0" t="n">
        <v>226</v>
      </c>
      <c r="H133" s="0" t="n">
        <v>196.2</v>
      </c>
      <c r="I133" s="0" t="n">
        <v>0.8</v>
      </c>
      <c r="J133" s="0" t="n">
        <v>0.4</v>
      </c>
      <c r="K133" s="0" t="n">
        <v>0</v>
      </c>
      <c r="L133" s="0" t="n">
        <v>0</v>
      </c>
      <c r="M133" s="0" t="n">
        <v>0</v>
      </c>
      <c r="N133" s="0" t="n">
        <v>0</v>
      </c>
      <c r="O133" s="0" t="s">
        <v>401</v>
      </c>
      <c r="P133" s="0" t="s">
        <v>531</v>
      </c>
    </row>
    <row r="134" customFormat="false" ht="15" hidden="false" customHeight="false" outlineLevel="0" collapsed="false">
      <c r="A134" s="0" t="s">
        <v>328</v>
      </c>
      <c r="B134" s="0" t="s">
        <v>157</v>
      </c>
      <c r="C134" s="0" t="s">
        <v>279</v>
      </c>
      <c r="D134" s="0" t="s">
        <v>159</v>
      </c>
      <c r="E134" s="0" t="s">
        <v>418</v>
      </c>
      <c r="F134" s="0" t="n">
        <v>197.888</v>
      </c>
      <c r="G134" s="0" t="n">
        <v>198</v>
      </c>
      <c r="H134" s="0" t="n">
        <v>173.4</v>
      </c>
      <c r="I134" s="0" t="n">
        <v>0.1</v>
      </c>
      <c r="J134" s="0" t="n">
        <v>0.1</v>
      </c>
      <c r="K134" s="0" t="n">
        <v>0</v>
      </c>
      <c r="L134" s="0" t="n">
        <v>0</v>
      </c>
      <c r="M134" s="0" t="n">
        <v>0</v>
      </c>
      <c r="N134" s="0" t="n">
        <v>0</v>
      </c>
      <c r="O134" s="0" t="s">
        <v>401</v>
      </c>
      <c r="P134" s="0" t="s">
        <v>532</v>
      </c>
    </row>
    <row r="135" customFormat="false" ht="15" hidden="false" customHeight="false" outlineLevel="0" collapsed="false">
      <c r="A135" s="0" t="s">
        <v>328</v>
      </c>
      <c r="B135" s="0" t="s">
        <v>160</v>
      </c>
      <c r="C135" s="0" t="s">
        <v>279</v>
      </c>
      <c r="D135" s="0" t="s">
        <v>162</v>
      </c>
      <c r="E135" s="0" t="s">
        <v>418</v>
      </c>
      <c r="F135" s="0" t="n">
        <v>194.499</v>
      </c>
      <c r="G135" s="0" t="n">
        <v>195</v>
      </c>
      <c r="H135" s="0" t="n">
        <v>165.7</v>
      </c>
      <c r="I135" s="0" t="n">
        <v>0.5</v>
      </c>
      <c r="J135" s="0" t="n">
        <v>0.3</v>
      </c>
      <c r="K135" s="0" t="n">
        <v>0</v>
      </c>
      <c r="L135" s="0" t="n">
        <v>0</v>
      </c>
      <c r="M135" s="0" t="n">
        <v>0</v>
      </c>
      <c r="N135" s="0" t="n">
        <v>0</v>
      </c>
      <c r="O135" s="0" t="s">
        <v>401</v>
      </c>
      <c r="P135" s="0" t="s">
        <v>533</v>
      </c>
    </row>
    <row r="136" customFormat="false" ht="15" hidden="false" customHeight="false" outlineLevel="0" collapsed="false">
      <c r="A136" s="0" t="s">
        <v>328</v>
      </c>
      <c r="B136" s="0" t="s">
        <v>163</v>
      </c>
      <c r="C136" s="0" t="s">
        <v>279</v>
      </c>
      <c r="D136" s="0" t="s">
        <v>165</v>
      </c>
      <c r="E136" s="0" t="s">
        <v>418</v>
      </c>
      <c r="F136" s="0" t="n">
        <v>216.015</v>
      </c>
      <c r="G136" s="0" t="n">
        <v>217</v>
      </c>
      <c r="H136" s="0" t="n">
        <v>179.2</v>
      </c>
      <c r="I136" s="0" t="n">
        <v>1</v>
      </c>
      <c r="J136" s="0" t="n">
        <v>0.5</v>
      </c>
      <c r="K136" s="0" t="n">
        <v>0</v>
      </c>
      <c r="L136" s="0" t="n">
        <v>0</v>
      </c>
      <c r="M136" s="0" t="n">
        <v>0</v>
      </c>
      <c r="N136" s="0" t="n">
        <v>0</v>
      </c>
      <c r="O136" s="0" t="s">
        <v>401</v>
      </c>
      <c r="P136" s="0" t="s">
        <v>534</v>
      </c>
    </row>
    <row r="137" customFormat="false" ht="15" hidden="false" customHeight="false" outlineLevel="0" collapsed="false">
      <c r="A137" s="0" t="s">
        <v>328</v>
      </c>
      <c r="B137" s="0" t="s">
        <v>166</v>
      </c>
      <c r="C137" s="0" t="s">
        <v>279</v>
      </c>
      <c r="D137" s="0" t="s">
        <v>168</v>
      </c>
      <c r="E137" s="0" t="s">
        <v>418</v>
      </c>
      <c r="F137" s="0" t="n">
        <v>164.142</v>
      </c>
      <c r="G137" s="0" t="n">
        <v>166</v>
      </c>
      <c r="H137" s="0" t="n">
        <v>143.1</v>
      </c>
      <c r="I137" s="0" t="n">
        <v>1.9</v>
      </c>
      <c r="J137" s="0" t="n">
        <v>1.1</v>
      </c>
      <c r="K137" s="0" t="n">
        <v>1</v>
      </c>
      <c r="L137" s="0" t="n">
        <v>1</v>
      </c>
      <c r="M137" s="0" t="n">
        <v>0</v>
      </c>
      <c r="N137" s="0" t="n">
        <v>0</v>
      </c>
      <c r="O137" s="0" t="s">
        <v>401</v>
      </c>
      <c r="P137" s="0" t="s">
        <v>535</v>
      </c>
    </row>
    <row r="138" customFormat="false" ht="15" hidden="false" customHeight="false" outlineLevel="0" collapsed="false">
      <c r="A138" s="0" t="s">
        <v>328</v>
      </c>
      <c r="B138" s="0" t="s">
        <v>169</v>
      </c>
      <c r="C138" s="0" t="s">
        <v>279</v>
      </c>
      <c r="D138" s="0" t="s">
        <v>171</v>
      </c>
      <c r="E138" s="0" t="s">
        <v>418</v>
      </c>
      <c r="F138" s="0" t="n">
        <v>202.093</v>
      </c>
      <c r="G138" s="0" t="n">
        <v>202</v>
      </c>
      <c r="H138" s="0" t="n">
        <v>169</v>
      </c>
      <c r="I138" s="0" t="n">
        <v>-0.1</v>
      </c>
      <c r="J138" s="0" t="n">
        <v>0</v>
      </c>
      <c r="K138" s="0" t="n">
        <v>0</v>
      </c>
      <c r="L138" s="0" t="n">
        <v>0</v>
      </c>
      <c r="M138" s="0" t="n">
        <v>0</v>
      </c>
      <c r="N138" s="0" t="n">
        <v>0</v>
      </c>
      <c r="O138" s="0" t="s">
        <v>401</v>
      </c>
      <c r="P138" s="0" t="s">
        <v>536</v>
      </c>
    </row>
    <row r="139" customFormat="false" ht="15" hidden="false" customHeight="false" outlineLevel="0" collapsed="false">
      <c r="A139" s="0" t="s">
        <v>328</v>
      </c>
      <c r="B139" s="0" t="s">
        <v>175</v>
      </c>
      <c r="C139" s="0" t="s">
        <v>279</v>
      </c>
      <c r="D139" s="0" t="s">
        <v>177</v>
      </c>
      <c r="E139" s="0" t="s">
        <v>418</v>
      </c>
      <c r="F139" s="0" t="n">
        <v>166.829</v>
      </c>
      <c r="G139" s="0" t="n">
        <v>167</v>
      </c>
      <c r="H139" s="0" t="n">
        <v>137.3</v>
      </c>
      <c r="I139" s="0" t="n">
        <v>0.2</v>
      </c>
      <c r="J139" s="0" t="n">
        <v>0.1</v>
      </c>
      <c r="K139" s="0" t="n">
        <v>1</v>
      </c>
      <c r="L139" s="0" t="n">
        <v>1</v>
      </c>
      <c r="M139" s="0" t="n">
        <v>0</v>
      </c>
      <c r="N139" s="0" t="n">
        <v>0</v>
      </c>
      <c r="O139" s="0" t="s">
        <v>401</v>
      </c>
      <c r="P139" s="0" t="s">
        <v>537</v>
      </c>
    </row>
    <row r="140" customFormat="false" ht="15" hidden="false" customHeight="false" outlineLevel="0" collapsed="false">
      <c r="A140" s="0" t="s">
        <v>329</v>
      </c>
      <c r="B140" s="0" t="s">
        <v>182</v>
      </c>
      <c r="C140" s="0" t="s">
        <v>281</v>
      </c>
      <c r="D140" s="0" t="s">
        <v>184</v>
      </c>
      <c r="E140" s="0" t="s">
        <v>418</v>
      </c>
      <c r="F140" s="0" t="n">
        <v>184.994</v>
      </c>
      <c r="G140" s="0" t="n">
        <v>186</v>
      </c>
      <c r="H140" s="0" t="n">
        <v>148.7</v>
      </c>
      <c r="I140" s="0" t="n">
        <v>1</v>
      </c>
      <c r="J140" s="0" t="n">
        <v>0.5</v>
      </c>
      <c r="K140" s="0" t="n">
        <v>0</v>
      </c>
      <c r="L140" s="0" t="n">
        <v>0</v>
      </c>
      <c r="M140" s="0" t="n">
        <v>0</v>
      </c>
      <c r="N140" s="0" t="n">
        <v>0</v>
      </c>
      <c r="O140" s="0" t="s">
        <v>401</v>
      </c>
      <c r="P140" s="0" t="s">
        <v>538</v>
      </c>
    </row>
    <row r="141" customFormat="false" ht="15" hidden="false" customHeight="false" outlineLevel="0" collapsed="false">
      <c r="A141" s="0" t="s">
        <v>330</v>
      </c>
      <c r="B141" s="0" t="s">
        <v>182</v>
      </c>
      <c r="C141" s="0" t="s">
        <v>283</v>
      </c>
      <c r="D141" s="0" t="s">
        <v>184</v>
      </c>
      <c r="E141" s="0" t="s">
        <v>418</v>
      </c>
      <c r="F141" s="0" t="n">
        <v>215.143</v>
      </c>
      <c r="G141" s="0" t="n">
        <v>202</v>
      </c>
      <c r="H141" s="0" t="n">
        <v>159.9</v>
      </c>
      <c r="I141" s="0" t="n">
        <v>-13.1</v>
      </c>
      <c r="J141" s="0" t="n">
        <v>-6.1</v>
      </c>
      <c r="K141" s="0" t="n">
        <v>0</v>
      </c>
      <c r="L141" s="0" t="n">
        <v>0</v>
      </c>
      <c r="M141" s="0" t="n">
        <v>0</v>
      </c>
      <c r="N141" s="0" t="n">
        <v>0</v>
      </c>
      <c r="O141" s="0" t="s">
        <v>401</v>
      </c>
      <c r="P141" s="0" t="s">
        <v>539</v>
      </c>
    </row>
    <row r="142" customFormat="false" ht="15" hidden="false" customHeight="false" outlineLevel="0" collapsed="false">
      <c r="A142" s="0" t="s">
        <v>331</v>
      </c>
      <c r="B142" s="0" t="s">
        <v>148</v>
      </c>
      <c r="C142" s="0" t="s">
        <v>285</v>
      </c>
      <c r="D142" s="0" t="s">
        <v>150</v>
      </c>
      <c r="E142" s="0" t="s">
        <v>418</v>
      </c>
      <c r="F142" s="0" t="n">
        <v>185.626</v>
      </c>
      <c r="G142" s="0" t="n">
        <v>186</v>
      </c>
      <c r="H142" s="0" t="n">
        <v>143.1</v>
      </c>
      <c r="I142" s="0" t="n">
        <v>0.4</v>
      </c>
      <c r="J142" s="0" t="n">
        <v>0.2</v>
      </c>
      <c r="K142" s="0" t="n">
        <v>0</v>
      </c>
      <c r="L142" s="0" t="n">
        <v>0</v>
      </c>
      <c r="M142" s="0" t="n">
        <v>0</v>
      </c>
      <c r="N142" s="0" t="n">
        <v>0</v>
      </c>
      <c r="O142" s="0" t="s">
        <v>401</v>
      </c>
      <c r="P142" s="0" t="s">
        <v>540</v>
      </c>
    </row>
    <row r="143" customFormat="false" ht="15" hidden="false" customHeight="false" outlineLevel="0" collapsed="false">
      <c r="A143" s="0" t="s">
        <v>331</v>
      </c>
      <c r="B143" s="0" t="s">
        <v>163</v>
      </c>
      <c r="C143" s="0" t="s">
        <v>285</v>
      </c>
      <c r="D143" s="0" t="s">
        <v>165</v>
      </c>
      <c r="E143" s="0" t="s">
        <v>418</v>
      </c>
      <c r="F143" s="0" t="n">
        <v>176.472</v>
      </c>
      <c r="G143" s="0" t="n">
        <v>178</v>
      </c>
      <c r="H143" s="0" t="n">
        <v>121</v>
      </c>
      <c r="I143" s="0" t="n">
        <v>1.5</v>
      </c>
      <c r="J143" s="0" t="n">
        <v>0.9</v>
      </c>
      <c r="K143" s="0" t="n">
        <v>1</v>
      </c>
      <c r="L143" s="0" t="n">
        <v>1</v>
      </c>
      <c r="M143" s="0" t="n">
        <v>0</v>
      </c>
      <c r="N143" s="0" t="n">
        <v>0</v>
      </c>
      <c r="O143" s="0" t="s">
        <v>401</v>
      </c>
      <c r="P143" s="0" t="s">
        <v>541</v>
      </c>
    </row>
    <row r="144" customFormat="false" ht="15" hidden="false" customHeight="false" outlineLevel="0" collapsed="false">
      <c r="A144" s="0" t="s">
        <v>331</v>
      </c>
      <c r="B144" s="0" t="s">
        <v>169</v>
      </c>
      <c r="C144" s="0" t="s">
        <v>285</v>
      </c>
      <c r="D144" s="0" t="s">
        <v>171</v>
      </c>
      <c r="E144" s="0" t="s">
        <v>418</v>
      </c>
      <c r="F144" s="0" t="n">
        <v>162.55</v>
      </c>
      <c r="G144" s="0" t="n">
        <v>162</v>
      </c>
      <c r="H144" s="0" t="n">
        <v>111.5</v>
      </c>
      <c r="I144" s="0" t="n">
        <v>-0.6</v>
      </c>
      <c r="J144" s="0" t="n">
        <v>-0.3</v>
      </c>
      <c r="K144" s="0" t="n">
        <v>1</v>
      </c>
      <c r="L144" s="0" t="n">
        <v>1</v>
      </c>
      <c r="M144" s="0" t="n">
        <v>0</v>
      </c>
      <c r="N144" s="0" t="n">
        <v>0</v>
      </c>
      <c r="O144" s="0" t="s">
        <v>401</v>
      </c>
      <c r="P144" s="0" t="s">
        <v>542</v>
      </c>
    </row>
    <row r="145" customFormat="false" ht="15" hidden="false" customHeight="false" outlineLevel="0" collapsed="false">
      <c r="A145" s="36" t="s">
        <v>331</v>
      </c>
      <c r="B145" s="36" t="s">
        <v>182</v>
      </c>
      <c r="C145" s="36" t="s">
        <v>285</v>
      </c>
      <c r="D145" s="36" t="s">
        <v>184</v>
      </c>
      <c r="E145" s="36" t="s">
        <v>418</v>
      </c>
      <c r="F145" s="36" t="n">
        <v>206.101</v>
      </c>
      <c r="G145" s="36" t="n">
        <v>178</v>
      </c>
      <c r="H145" s="36" t="n">
        <v>125.3</v>
      </c>
      <c r="I145" s="36" t="n">
        <v>-28.1</v>
      </c>
      <c r="J145" s="36" t="n">
        <v>-13.6</v>
      </c>
      <c r="K145" s="36" t="n">
        <v>0</v>
      </c>
      <c r="L145" s="36" t="n">
        <v>1</v>
      </c>
      <c r="M145" s="36" t="n">
        <v>1</v>
      </c>
      <c r="N145" s="36" t="n">
        <v>1</v>
      </c>
      <c r="O145" s="36" t="s">
        <v>401</v>
      </c>
      <c r="P145" s="36" t="s">
        <v>543</v>
      </c>
    </row>
    <row r="146" customFormat="false" ht="15" hidden="false" customHeight="false" outlineLevel="0" collapsed="false">
      <c r="A146" s="0" t="s">
        <v>332</v>
      </c>
      <c r="B146" s="0" t="s">
        <v>140</v>
      </c>
      <c r="C146" s="0" t="s">
        <v>287</v>
      </c>
      <c r="D146" s="0" t="s">
        <v>142</v>
      </c>
      <c r="E146" s="0" t="s">
        <v>418</v>
      </c>
      <c r="F146" s="0" t="n">
        <v>175.913</v>
      </c>
      <c r="G146" s="0" t="n">
        <v>178</v>
      </c>
      <c r="H146" s="0" t="n">
        <v>141.4</v>
      </c>
      <c r="I146" s="0" t="n">
        <v>2.1</v>
      </c>
      <c r="J146" s="0" t="n">
        <v>1.2</v>
      </c>
      <c r="K146" s="0" t="n">
        <v>1</v>
      </c>
      <c r="L146" s="0" t="n">
        <v>1</v>
      </c>
      <c r="M146" s="0" t="n">
        <v>0</v>
      </c>
      <c r="N146" s="0" t="n">
        <v>0</v>
      </c>
      <c r="O146" s="0" t="s">
        <v>401</v>
      </c>
      <c r="P146" s="0" t="s">
        <v>544</v>
      </c>
    </row>
    <row r="147" customFormat="false" ht="15" hidden="false" customHeight="false" outlineLevel="0" collapsed="false">
      <c r="A147" s="0" t="s">
        <v>332</v>
      </c>
      <c r="B147" s="0" t="s">
        <v>148</v>
      </c>
      <c r="C147" s="0" t="s">
        <v>287</v>
      </c>
      <c r="D147" s="0" t="s">
        <v>150</v>
      </c>
      <c r="E147" s="0" t="s">
        <v>418</v>
      </c>
      <c r="F147" s="0" t="n">
        <v>216.728</v>
      </c>
      <c r="G147" s="0" t="n">
        <v>214</v>
      </c>
      <c r="H147" s="0" t="n">
        <v>181.2</v>
      </c>
      <c r="I147" s="0" t="n">
        <v>-2.7</v>
      </c>
      <c r="J147" s="0" t="n">
        <v>-1.3</v>
      </c>
      <c r="K147" s="0" t="n">
        <v>0</v>
      </c>
      <c r="L147" s="0" t="n">
        <v>0</v>
      </c>
      <c r="M147" s="0" t="n">
        <v>0</v>
      </c>
      <c r="N147" s="0" t="n">
        <v>0</v>
      </c>
      <c r="O147" s="0" t="s">
        <v>401</v>
      </c>
      <c r="P147" s="0" t="s">
        <v>545</v>
      </c>
    </row>
    <row r="148" customFormat="false" ht="15" hidden="false" customHeight="false" outlineLevel="0" collapsed="false">
      <c r="A148" s="0" t="s">
        <v>332</v>
      </c>
      <c r="B148" s="0" t="s">
        <v>157</v>
      </c>
      <c r="C148" s="0" t="s">
        <v>287</v>
      </c>
      <c r="D148" s="0" t="s">
        <v>159</v>
      </c>
      <c r="E148" s="0" t="s">
        <v>418</v>
      </c>
      <c r="F148" s="0" t="n">
        <v>189.448</v>
      </c>
      <c r="G148" s="0" t="n">
        <v>186</v>
      </c>
      <c r="H148" s="0" t="n">
        <v>155.8</v>
      </c>
      <c r="I148" s="0" t="n">
        <v>-3.4</v>
      </c>
      <c r="J148" s="0" t="n">
        <v>-1.8</v>
      </c>
      <c r="K148" s="0" t="n">
        <v>0</v>
      </c>
      <c r="L148" s="0" t="n">
        <v>0</v>
      </c>
      <c r="M148" s="0" t="n">
        <v>0</v>
      </c>
      <c r="N148" s="0" t="n">
        <v>0</v>
      </c>
      <c r="O148" s="0" t="s">
        <v>401</v>
      </c>
      <c r="P148" s="0" t="s">
        <v>546</v>
      </c>
    </row>
    <row r="149" customFormat="false" ht="15" hidden="false" customHeight="false" outlineLevel="0" collapsed="false">
      <c r="A149" s="0" t="s">
        <v>332</v>
      </c>
      <c r="B149" s="0" t="s">
        <v>160</v>
      </c>
      <c r="C149" s="0" t="s">
        <v>287</v>
      </c>
      <c r="D149" s="0" t="s">
        <v>162</v>
      </c>
      <c r="E149" s="0" t="s">
        <v>418</v>
      </c>
      <c r="F149" s="0" t="n">
        <v>186.058</v>
      </c>
      <c r="G149" s="0" t="n">
        <v>183</v>
      </c>
      <c r="H149" s="0" t="n">
        <v>153.4</v>
      </c>
      <c r="I149" s="0" t="n">
        <v>-3.1</v>
      </c>
      <c r="J149" s="0" t="n">
        <v>-1.6</v>
      </c>
      <c r="K149" s="0" t="n">
        <v>0</v>
      </c>
      <c r="L149" s="0" t="n">
        <v>0</v>
      </c>
      <c r="M149" s="0" t="n">
        <v>0</v>
      </c>
      <c r="N149" s="0" t="n">
        <v>0</v>
      </c>
      <c r="O149" s="0" t="s">
        <v>401</v>
      </c>
      <c r="P149" s="0" t="s">
        <v>547</v>
      </c>
    </row>
    <row r="150" customFormat="false" ht="15" hidden="false" customHeight="false" outlineLevel="0" collapsed="false">
      <c r="A150" s="0" t="s">
        <v>332</v>
      </c>
      <c r="B150" s="0" t="s">
        <v>163</v>
      </c>
      <c r="C150" s="0" t="s">
        <v>287</v>
      </c>
      <c r="D150" s="0" t="s">
        <v>165</v>
      </c>
      <c r="E150" s="0" t="s">
        <v>418</v>
      </c>
      <c r="F150" s="0" t="n">
        <v>207.574</v>
      </c>
      <c r="G150" s="0" t="n">
        <v>205</v>
      </c>
      <c r="H150" s="0" t="n">
        <v>158.4</v>
      </c>
      <c r="I150" s="0" t="n">
        <v>-2.6</v>
      </c>
      <c r="J150" s="0" t="n">
        <v>-1.2</v>
      </c>
      <c r="K150" s="0" t="n">
        <v>0</v>
      </c>
      <c r="L150" s="0" t="n">
        <v>0</v>
      </c>
      <c r="M150" s="0" t="n">
        <v>0</v>
      </c>
      <c r="N150" s="0" t="n">
        <v>0</v>
      </c>
      <c r="O150" s="0" t="s">
        <v>401</v>
      </c>
      <c r="P150" s="0" t="s">
        <v>548</v>
      </c>
    </row>
    <row r="151" customFormat="false" ht="15" hidden="false" customHeight="false" outlineLevel="0" collapsed="false">
      <c r="A151" s="0" t="s">
        <v>332</v>
      </c>
      <c r="B151" s="0" t="s">
        <v>169</v>
      </c>
      <c r="C151" s="0" t="s">
        <v>287</v>
      </c>
      <c r="D151" s="0" t="s">
        <v>171</v>
      </c>
      <c r="E151" s="0" t="s">
        <v>418</v>
      </c>
      <c r="F151" s="0" t="n">
        <v>193.652</v>
      </c>
      <c r="G151" s="0" t="n">
        <v>190</v>
      </c>
      <c r="H151" s="0" t="n">
        <v>149.2</v>
      </c>
      <c r="I151" s="0" t="n">
        <v>-3.7</v>
      </c>
      <c r="J151" s="0" t="n">
        <v>-1.9</v>
      </c>
      <c r="K151" s="0" t="n">
        <v>0</v>
      </c>
      <c r="L151" s="0" t="n">
        <v>0</v>
      </c>
      <c r="M151" s="0" t="n">
        <v>0</v>
      </c>
      <c r="N151" s="0" t="n">
        <v>0</v>
      </c>
      <c r="O151" s="0" t="s">
        <v>401</v>
      </c>
      <c r="P151" s="0" t="s">
        <v>549</v>
      </c>
    </row>
    <row r="152" customFormat="false" ht="15" hidden="false" customHeight="false" outlineLevel="0" collapsed="false">
      <c r="A152" s="0" t="s">
        <v>332</v>
      </c>
      <c r="B152" s="0" t="s">
        <v>185</v>
      </c>
      <c r="C152" s="0" t="s">
        <v>287</v>
      </c>
      <c r="D152" s="0" t="s">
        <v>187</v>
      </c>
      <c r="E152" s="0" t="s">
        <v>418</v>
      </c>
      <c r="F152" s="0" t="n">
        <v>204.505</v>
      </c>
      <c r="G152" s="0" t="n">
        <v>209</v>
      </c>
      <c r="H152" s="0" t="n">
        <v>112.2</v>
      </c>
      <c r="I152" s="0" t="n">
        <v>4.5</v>
      </c>
      <c r="J152" s="0" t="n">
        <v>2.2</v>
      </c>
      <c r="K152" s="0" t="n">
        <v>0</v>
      </c>
      <c r="L152" s="0" t="n">
        <v>0</v>
      </c>
      <c r="M152" s="0" t="n">
        <v>0</v>
      </c>
      <c r="N152" s="0" t="n">
        <v>0</v>
      </c>
      <c r="O152" s="0" t="s">
        <v>401</v>
      </c>
      <c r="P152" s="0" t="s">
        <v>550</v>
      </c>
    </row>
    <row r="153" customFormat="false" ht="15" hidden="false" customHeight="false" outlineLevel="0" collapsed="false">
      <c r="A153" s="0" t="s">
        <v>333</v>
      </c>
      <c r="B153" s="0" t="s">
        <v>140</v>
      </c>
      <c r="C153" s="0" t="s">
        <v>289</v>
      </c>
      <c r="D153" s="0" t="s">
        <v>142</v>
      </c>
      <c r="E153" s="0" t="s">
        <v>418</v>
      </c>
      <c r="F153" s="0" t="n">
        <v>168.573</v>
      </c>
      <c r="G153" s="0" t="n">
        <v>173</v>
      </c>
      <c r="H153" s="0" t="n">
        <v>131.7</v>
      </c>
      <c r="I153" s="0" t="n">
        <v>4.4</v>
      </c>
      <c r="J153" s="0" t="n">
        <v>2.6</v>
      </c>
      <c r="K153" s="0" t="n">
        <v>1</v>
      </c>
      <c r="L153" s="0" t="n">
        <v>1</v>
      </c>
      <c r="M153" s="0" t="n">
        <v>0</v>
      </c>
      <c r="N153" s="0" t="n">
        <v>0</v>
      </c>
      <c r="O153" s="0" t="s">
        <v>401</v>
      </c>
      <c r="P153" s="0" t="s">
        <v>551</v>
      </c>
    </row>
    <row r="154" customFormat="false" ht="15" hidden="false" customHeight="false" outlineLevel="0" collapsed="false">
      <c r="A154" s="0" t="s">
        <v>333</v>
      </c>
      <c r="B154" s="0" t="s">
        <v>148</v>
      </c>
      <c r="C154" s="0" t="s">
        <v>289</v>
      </c>
      <c r="D154" s="0" t="s">
        <v>150</v>
      </c>
      <c r="E154" s="0" t="s">
        <v>418</v>
      </c>
      <c r="F154" s="0" t="n">
        <v>209.388</v>
      </c>
      <c r="G154" s="0" t="n">
        <v>208</v>
      </c>
      <c r="H154" s="0" t="n">
        <v>171.8</v>
      </c>
      <c r="I154" s="0" t="n">
        <v>-1.4</v>
      </c>
      <c r="J154" s="0" t="n">
        <v>-0.7</v>
      </c>
      <c r="K154" s="0" t="n">
        <v>0</v>
      </c>
      <c r="L154" s="0" t="n">
        <v>0</v>
      </c>
      <c r="M154" s="0" t="n">
        <v>0</v>
      </c>
      <c r="N154" s="0" t="n">
        <v>0</v>
      </c>
      <c r="O154" s="0" t="s">
        <v>401</v>
      </c>
      <c r="P154" s="0" t="s">
        <v>552</v>
      </c>
    </row>
    <row r="155" customFormat="false" ht="15" hidden="false" customHeight="false" outlineLevel="0" collapsed="false">
      <c r="A155" s="0" t="s">
        <v>333</v>
      </c>
      <c r="B155" s="0" t="s">
        <v>157</v>
      </c>
      <c r="C155" s="0" t="s">
        <v>289</v>
      </c>
      <c r="D155" s="0" t="s">
        <v>159</v>
      </c>
      <c r="E155" s="0" t="s">
        <v>418</v>
      </c>
      <c r="F155" s="0" t="n">
        <v>182.107</v>
      </c>
      <c r="G155" s="0" t="n">
        <v>181</v>
      </c>
      <c r="H155" s="0" t="n">
        <v>146.1</v>
      </c>
      <c r="I155" s="0" t="n">
        <v>-1.1</v>
      </c>
      <c r="J155" s="0" t="n">
        <v>-0.6</v>
      </c>
      <c r="K155" s="0" t="n">
        <v>0</v>
      </c>
      <c r="L155" s="0" t="n">
        <v>0</v>
      </c>
      <c r="M155" s="0" t="n">
        <v>0</v>
      </c>
      <c r="N155" s="0" t="n">
        <v>0</v>
      </c>
      <c r="O155" s="0" t="s">
        <v>401</v>
      </c>
      <c r="P155" s="0" t="s">
        <v>553</v>
      </c>
    </row>
    <row r="156" customFormat="false" ht="15" hidden="false" customHeight="false" outlineLevel="0" collapsed="false">
      <c r="A156" s="0" t="s">
        <v>333</v>
      </c>
      <c r="B156" s="0" t="s">
        <v>160</v>
      </c>
      <c r="C156" s="0" t="s">
        <v>289</v>
      </c>
      <c r="D156" s="0" t="s">
        <v>162</v>
      </c>
      <c r="E156" s="0" t="s">
        <v>418</v>
      </c>
      <c r="F156" s="0" t="n">
        <v>178.718</v>
      </c>
      <c r="G156" s="0" t="n">
        <v>178</v>
      </c>
      <c r="H156" s="0" t="n">
        <v>144.4</v>
      </c>
      <c r="I156" s="0" t="n">
        <v>-0.7</v>
      </c>
      <c r="J156" s="0" t="n">
        <v>-0.4</v>
      </c>
      <c r="K156" s="0" t="n">
        <v>1</v>
      </c>
      <c r="L156" s="0" t="n">
        <v>1</v>
      </c>
      <c r="M156" s="0" t="n">
        <v>0</v>
      </c>
      <c r="N156" s="0" t="n">
        <v>0</v>
      </c>
      <c r="O156" s="0" t="s">
        <v>401</v>
      </c>
      <c r="P156" s="0" t="s">
        <v>554</v>
      </c>
    </row>
    <row r="157" customFormat="false" ht="15" hidden="false" customHeight="false" outlineLevel="0" collapsed="false">
      <c r="A157" s="0" t="s">
        <v>333</v>
      </c>
      <c r="B157" s="0" t="s">
        <v>163</v>
      </c>
      <c r="C157" s="0" t="s">
        <v>289</v>
      </c>
      <c r="D157" s="0" t="s">
        <v>165</v>
      </c>
      <c r="E157" s="0" t="s">
        <v>418</v>
      </c>
      <c r="F157" s="0" t="n">
        <v>200.234</v>
      </c>
      <c r="G157" s="0" t="n">
        <v>200</v>
      </c>
      <c r="H157" s="0" t="n">
        <v>148.2</v>
      </c>
      <c r="I157" s="0" t="n">
        <v>-0.2</v>
      </c>
      <c r="J157" s="0" t="n">
        <v>-0.1</v>
      </c>
      <c r="K157" s="0" t="n">
        <v>0</v>
      </c>
      <c r="L157" s="0" t="n">
        <v>0</v>
      </c>
      <c r="M157" s="0" t="n">
        <v>0</v>
      </c>
      <c r="N157" s="0" t="n">
        <v>0</v>
      </c>
      <c r="O157" s="0" t="s">
        <v>401</v>
      </c>
      <c r="P157" s="0" t="s">
        <v>555</v>
      </c>
    </row>
    <row r="158" customFormat="false" ht="15" hidden="false" customHeight="false" outlineLevel="0" collapsed="false">
      <c r="A158" s="0" t="s">
        <v>333</v>
      </c>
      <c r="B158" s="0" t="s">
        <v>169</v>
      </c>
      <c r="C158" s="0" t="s">
        <v>289</v>
      </c>
      <c r="D158" s="0" t="s">
        <v>171</v>
      </c>
      <c r="E158" s="0" t="s">
        <v>418</v>
      </c>
      <c r="F158" s="0" t="n">
        <v>186.312</v>
      </c>
      <c r="G158" s="0" t="n">
        <v>184</v>
      </c>
      <c r="H158" s="0" t="n">
        <v>139.1</v>
      </c>
      <c r="I158" s="0" t="n">
        <v>-2.3</v>
      </c>
      <c r="J158" s="0" t="n">
        <v>-1.2</v>
      </c>
      <c r="K158" s="0" t="n">
        <v>0</v>
      </c>
      <c r="L158" s="0" t="n">
        <v>0</v>
      </c>
      <c r="M158" s="0" t="n">
        <v>0</v>
      </c>
      <c r="N158" s="0" t="n">
        <v>0</v>
      </c>
      <c r="O158" s="0" t="s">
        <v>401</v>
      </c>
      <c r="P158" s="0" t="s">
        <v>556</v>
      </c>
    </row>
    <row r="159" customFormat="false" ht="15" hidden="false" customHeight="false" outlineLevel="0" collapsed="false">
      <c r="A159" s="0" t="s">
        <v>333</v>
      </c>
      <c r="B159" s="0" t="s">
        <v>185</v>
      </c>
      <c r="C159" s="0" t="s">
        <v>289</v>
      </c>
      <c r="D159" s="0" t="s">
        <v>187</v>
      </c>
      <c r="E159" s="0" t="s">
        <v>418</v>
      </c>
      <c r="F159" s="0" t="n">
        <v>216.178</v>
      </c>
      <c r="G159" s="0" t="n">
        <v>220</v>
      </c>
      <c r="H159" s="0" t="n">
        <v>123</v>
      </c>
      <c r="I159" s="0" t="n">
        <v>3.8</v>
      </c>
      <c r="J159" s="0" t="n">
        <v>1.8</v>
      </c>
      <c r="K159" s="0" t="n">
        <v>0</v>
      </c>
      <c r="L159" s="0" t="n">
        <v>0</v>
      </c>
      <c r="M159" s="0" t="n">
        <v>0</v>
      </c>
      <c r="N159" s="0" t="n">
        <v>0</v>
      </c>
      <c r="O159" s="0" t="s">
        <v>401</v>
      </c>
      <c r="P159" s="0" t="s">
        <v>557</v>
      </c>
    </row>
    <row r="160" customFormat="false" ht="15" hidden="false" customHeight="false" outlineLevel="0" collapsed="false">
      <c r="A160" s="0" t="s">
        <v>333</v>
      </c>
      <c r="B160" s="0" t="s">
        <v>191</v>
      </c>
      <c r="C160" s="0" t="s">
        <v>289</v>
      </c>
      <c r="D160" s="0" t="s">
        <v>193</v>
      </c>
      <c r="E160" s="0" t="s">
        <v>558</v>
      </c>
      <c r="F160" s="0" t="n">
        <v>237.644</v>
      </c>
      <c r="G160" s="0" t="n">
        <v>238</v>
      </c>
      <c r="H160" s="0" t="n">
        <v>150.5</v>
      </c>
      <c r="I160" s="0" t="n">
        <v>0.4</v>
      </c>
      <c r="J160" s="0" t="n">
        <v>0.1</v>
      </c>
      <c r="K160" s="0" t="n">
        <v>0</v>
      </c>
      <c r="L160" s="0" t="n">
        <v>0</v>
      </c>
      <c r="M160" s="0" t="n">
        <v>0</v>
      </c>
      <c r="N160" s="0" t="n">
        <v>0</v>
      </c>
      <c r="O160" s="0" t="s">
        <v>401</v>
      </c>
      <c r="P160" s="0" t="s">
        <v>559</v>
      </c>
    </row>
    <row r="161" customFormat="false" ht="15" hidden="false" customHeight="false" outlineLevel="0" collapsed="false">
      <c r="A161" s="0" t="s">
        <v>308</v>
      </c>
      <c r="B161" s="0" t="s">
        <v>191</v>
      </c>
      <c r="C161" s="0" t="s">
        <v>237</v>
      </c>
      <c r="D161" s="0" t="s">
        <v>193</v>
      </c>
      <c r="E161" s="0" t="s">
        <v>558</v>
      </c>
      <c r="F161" s="0" t="n">
        <v>243.284</v>
      </c>
      <c r="G161" s="0" t="n">
        <v>244</v>
      </c>
      <c r="H161" s="0" t="n">
        <v>152.1</v>
      </c>
      <c r="I161" s="0" t="n">
        <v>0.7</v>
      </c>
      <c r="J161" s="0" t="n">
        <v>0.3</v>
      </c>
      <c r="K161" s="0" t="n">
        <v>0</v>
      </c>
      <c r="L161" s="0" t="n">
        <v>0</v>
      </c>
      <c r="M161" s="0" t="n">
        <v>0</v>
      </c>
      <c r="N161" s="0" t="n">
        <v>0</v>
      </c>
      <c r="O161" s="0" t="s">
        <v>401</v>
      </c>
      <c r="P161" s="0" t="s">
        <v>560</v>
      </c>
    </row>
    <row r="162" customFormat="false" ht="15" hidden="false" customHeight="false" outlineLevel="0" collapsed="false">
      <c r="A162" s="0" t="s">
        <v>332</v>
      </c>
      <c r="B162" s="0" t="s">
        <v>191</v>
      </c>
      <c r="C162" s="0" t="s">
        <v>287</v>
      </c>
      <c r="D162" s="0" t="s">
        <v>193</v>
      </c>
      <c r="E162" s="0" t="s">
        <v>558</v>
      </c>
      <c r="F162" s="0" t="n">
        <v>248.305</v>
      </c>
      <c r="G162" s="0" t="n">
        <v>249</v>
      </c>
      <c r="H162" s="0" t="n">
        <v>142.4</v>
      </c>
      <c r="I162" s="0" t="n">
        <v>0.7</v>
      </c>
      <c r="J162" s="0" t="n">
        <v>0.3</v>
      </c>
      <c r="K162" s="0" t="n">
        <v>0</v>
      </c>
      <c r="L162" s="0" t="n">
        <v>0</v>
      </c>
      <c r="M162" s="0" t="n">
        <v>0</v>
      </c>
      <c r="N162" s="0" t="n">
        <v>0</v>
      </c>
      <c r="O162" s="0" t="s">
        <v>401</v>
      </c>
      <c r="P162" s="0" t="s">
        <v>561</v>
      </c>
    </row>
    <row r="163" customFormat="false" ht="15" hidden="false" customHeight="false" outlineLevel="0" collapsed="false">
      <c r="A163" s="0" t="s">
        <v>314</v>
      </c>
      <c r="B163" s="0" t="s">
        <v>191</v>
      </c>
      <c r="C163" s="0" t="s">
        <v>251</v>
      </c>
      <c r="D163" s="0" t="s">
        <v>193</v>
      </c>
      <c r="E163" s="0" t="s">
        <v>558</v>
      </c>
      <c r="F163" s="0" t="n">
        <v>253.719</v>
      </c>
      <c r="G163" s="0" t="n">
        <v>254</v>
      </c>
      <c r="H163" s="0" t="n">
        <v>155.8</v>
      </c>
      <c r="I163" s="0" t="n">
        <v>0.3</v>
      </c>
      <c r="J163" s="0" t="n">
        <v>0.1</v>
      </c>
      <c r="K163" s="0" t="n">
        <v>0</v>
      </c>
      <c r="L163" s="0" t="n">
        <v>0</v>
      </c>
      <c r="M163" s="0" t="n">
        <v>0</v>
      </c>
      <c r="N163" s="0" t="n">
        <v>0</v>
      </c>
      <c r="O163" s="0" t="s">
        <v>401</v>
      </c>
      <c r="P163" s="0" t="s">
        <v>562</v>
      </c>
    </row>
    <row r="164" customFormat="false" ht="15" hidden="false" customHeight="false" outlineLevel="0" collapsed="false">
      <c r="A164" s="0" t="s">
        <v>328</v>
      </c>
      <c r="B164" s="0" t="s">
        <v>188</v>
      </c>
      <c r="C164" s="0" t="s">
        <v>279</v>
      </c>
      <c r="D164" s="0" t="s">
        <v>190</v>
      </c>
      <c r="E164" s="0" t="s">
        <v>558</v>
      </c>
      <c r="F164" s="0" t="n">
        <v>232.158</v>
      </c>
      <c r="G164" s="0" t="n">
        <v>220</v>
      </c>
      <c r="H164" s="0" t="n">
        <v>96.4</v>
      </c>
      <c r="I164" s="0" t="n">
        <v>-12.2</v>
      </c>
      <c r="J164" s="0" t="n">
        <v>-5.2</v>
      </c>
      <c r="K164" s="0" t="n">
        <v>0</v>
      </c>
      <c r="L164" s="0" t="n">
        <v>0</v>
      </c>
      <c r="M164" s="0" t="n">
        <v>0</v>
      </c>
      <c r="N164" s="0" t="n">
        <v>0</v>
      </c>
      <c r="O164" s="0" t="s">
        <v>401</v>
      </c>
      <c r="P164" s="0" t="s">
        <v>563</v>
      </c>
    </row>
    <row r="165" customFormat="false" ht="15" hidden="false" customHeight="false" outlineLevel="0" collapsed="false">
      <c r="A165" s="0" t="s">
        <v>325</v>
      </c>
      <c r="B165" s="0" t="s">
        <v>185</v>
      </c>
      <c r="C165" s="0" t="s">
        <v>273</v>
      </c>
      <c r="D165" s="0" t="s">
        <v>187</v>
      </c>
      <c r="E165" s="0" t="s">
        <v>558</v>
      </c>
      <c r="F165" s="0" t="n">
        <v>232.735</v>
      </c>
      <c r="G165" s="0" t="n">
        <v>246</v>
      </c>
      <c r="H165" s="0" t="n">
        <v>127</v>
      </c>
      <c r="I165" s="0" t="n">
        <v>13.3</v>
      </c>
      <c r="J165" s="0" t="n">
        <v>5.7</v>
      </c>
      <c r="K165" s="0" t="n">
        <v>0</v>
      </c>
      <c r="L165" s="0" t="n">
        <v>0</v>
      </c>
      <c r="M165" s="0" t="n">
        <v>0</v>
      </c>
      <c r="N165" s="0" t="n">
        <v>0</v>
      </c>
      <c r="O165" s="0" t="s">
        <v>401</v>
      </c>
      <c r="P165" s="0" t="s">
        <v>564</v>
      </c>
    </row>
    <row r="166" customFormat="false" ht="15" hidden="false" customHeight="false" outlineLevel="0" collapsed="false">
      <c r="A166" s="0" t="s">
        <v>315</v>
      </c>
      <c r="B166" s="0" t="s">
        <v>185</v>
      </c>
      <c r="C166" s="0" t="s">
        <v>253</v>
      </c>
      <c r="D166" s="0" t="s">
        <v>187</v>
      </c>
      <c r="E166" s="0" t="s">
        <v>558</v>
      </c>
      <c r="F166" s="0" t="n">
        <v>235.479</v>
      </c>
      <c r="G166" s="0" t="n">
        <v>240</v>
      </c>
      <c r="H166" s="0" t="n">
        <v>153.9</v>
      </c>
      <c r="I166" s="0" t="n">
        <v>4.5</v>
      </c>
      <c r="J166" s="0" t="n">
        <v>1.9</v>
      </c>
      <c r="K166" s="0" t="n">
        <v>0</v>
      </c>
      <c r="L166" s="0" t="n">
        <v>0</v>
      </c>
      <c r="M166" s="0" t="n">
        <v>0</v>
      </c>
      <c r="N166" s="0" t="n">
        <v>0</v>
      </c>
      <c r="O166" s="0" t="s">
        <v>401</v>
      </c>
      <c r="P166" s="0" t="s">
        <v>565</v>
      </c>
    </row>
    <row r="167" customFormat="false" ht="15" hidden="false" customHeight="false" outlineLevel="0" collapsed="false">
      <c r="A167" s="0" t="s">
        <v>316</v>
      </c>
      <c r="B167" s="0" t="s">
        <v>182</v>
      </c>
      <c r="C167" s="0" t="s">
        <v>255</v>
      </c>
      <c r="D167" s="0" t="s">
        <v>184</v>
      </c>
      <c r="E167" s="0" t="s">
        <v>558</v>
      </c>
      <c r="F167" s="0" t="n">
        <v>238.132</v>
      </c>
      <c r="G167" s="0" t="n">
        <v>239</v>
      </c>
      <c r="H167" s="0" t="n">
        <v>194.1</v>
      </c>
      <c r="I167" s="0" t="n">
        <v>0.9</v>
      </c>
      <c r="J167" s="0" t="n">
        <v>0.4</v>
      </c>
      <c r="K167" s="0" t="n">
        <v>0</v>
      </c>
      <c r="L167" s="0" t="n">
        <v>0</v>
      </c>
      <c r="M167" s="0" t="n">
        <v>0</v>
      </c>
      <c r="N167" s="0" t="n">
        <v>0</v>
      </c>
      <c r="O167" s="0" t="s">
        <v>401</v>
      </c>
      <c r="P167" s="0" t="s">
        <v>566</v>
      </c>
    </row>
    <row r="168" customFormat="false" ht="15" hidden="false" customHeight="false" outlineLevel="0" collapsed="false">
      <c r="A168" s="0" t="s">
        <v>329</v>
      </c>
      <c r="B168" s="0" t="s">
        <v>185</v>
      </c>
      <c r="C168" s="0" t="s">
        <v>281</v>
      </c>
      <c r="D168" s="0" t="s">
        <v>187</v>
      </c>
      <c r="E168" s="0" t="s">
        <v>558</v>
      </c>
      <c r="F168" s="0" t="n">
        <v>249.962</v>
      </c>
      <c r="G168" s="0" t="n">
        <v>263</v>
      </c>
      <c r="H168" s="0" t="n">
        <v>174.2</v>
      </c>
      <c r="I168" s="0" t="n">
        <v>13</v>
      </c>
      <c r="J168" s="0" t="n">
        <v>5.2</v>
      </c>
      <c r="K168" s="0" t="n">
        <v>0</v>
      </c>
      <c r="L168" s="0" t="n">
        <v>0</v>
      </c>
      <c r="M168" s="0" t="n">
        <v>0</v>
      </c>
      <c r="N168" s="0" t="n">
        <v>0</v>
      </c>
      <c r="O168" s="0" t="s">
        <v>401</v>
      </c>
      <c r="P168" s="0" t="s">
        <v>567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70"/>
    <col collapsed="false" customWidth="true" hidden="false" outlineLevel="0" max="3" min="3" style="0" width="60"/>
    <col collapsed="false" customWidth="true" hidden="false" outlineLevel="0" max="4" min="4" style="0" width="22"/>
    <col collapsed="false" customWidth="true" hidden="false" outlineLevel="0" max="5" min="5" style="0" width="50"/>
    <col collapsed="false" customWidth="true" hidden="false" outlineLevel="0" max="6" min="6" style="0" width="60"/>
  </cols>
  <sheetData>
    <row r="1" customFormat="false" ht="15" hidden="false" customHeight="false" outlineLevel="0" collapsed="false">
      <c r="A1" s="1" t="s">
        <v>568</v>
      </c>
    </row>
    <row r="2" customFormat="false" ht="15" hidden="false" customHeight="false" outlineLevel="0" collapsed="false">
      <c r="A2" s="0" t="s">
        <v>569</v>
      </c>
    </row>
    <row r="4" customFormat="false" ht="15" hidden="false" customHeight="false" outlineLevel="0" collapsed="false">
      <c r="A4" s="2" t="s">
        <v>25</v>
      </c>
      <c r="B4" s="2" t="s">
        <v>570</v>
      </c>
      <c r="C4" s="2" t="s">
        <v>571</v>
      </c>
      <c r="D4" s="2" t="s">
        <v>29</v>
      </c>
      <c r="E4" s="2" t="s">
        <v>572</v>
      </c>
      <c r="F4" s="2" t="s">
        <v>573</v>
      </c>
    </row>
    <row r="5" customFormat="false" ht="15" hidden="false" customHeight="false" outlineLevel="0" collapsed="false">
      <c r="A5" s="0" t="s">
        <v>574</v>
      </c>
      <c r="B5" s="0" t="s">
        <v>575</v>
      </c>
      <c r="C5" s="0" t="s">
        <v>576</v>
      </c>
      <c r="D5" s="0" t="s">
        <v>577</v>
      </c>
      <c r="E5" s="0" t="s">
        <v>578</v>
      </c>
      <c r="F5" s="0" t="s">
        <v>579</v>
      </c>
    </row>
    <row r="6" customFormat="false" ht="15" hidden="false" customHeight="false" outlineLevel="0" collapsed="false">
      <c r="A6" s="0" t="s">
        <v>580</v>
      </c>
      <c r="B6" s="0" t="s">
        <v>581</v>
      </c>
      <c r="C6" s="0" t="s">
        <v>582</v>
      </c>
      <c r="D6" s="0" t="s">
        <v>583</v>
      </c>
      <c r="E6" s="0" t="s">
        <v>584</v>
      </c>
      <c r="F6" s="0" t="s">
        <v>585</v>
      </c>
    </row>
    <row r="7" customFormat="false" ht="15" hidden="false" customHeight="false" outlineLevel="0" collapsed="false">
      <c r="A7" s="0" t="s">
        <v>586</v>
      </c>
      <c r="B7" s="0" t="s">
        <v>587</v>
      </c>
      <c r="C7" s="0" t="s">
        <v>582</v>
      </c>
      <c r="D7" s="0" t="s">
        <v>583</v>
      </c>
      <c r="E7" s="0" t="s">
        <v>588</v>
      </c>
      <c r="F7" s="0" t="s">
        <v>589</v>
      </c>
    </row>
    <row r="8" customFormat="false" ht="15" hidden="false" customHeight="false" outlineLevel="0" collapsed="false">
      <c r="A8" s="0" t="s">
        <v>590</v>
      </c>
      <c r="B8" s="0" t="s">
        <v>591</v>
      </c>
      <c r="C8" s="0" t="s">
        <v>592</v>
      </c>
      <c r="D8" s="0" t="s">
        <v>583</v>
      </c>
      <c r="E8" s="0" t="s">
        <v>593</v>
      </c>
      <c r="F8" s="0" t="s">
        <v>594</v>
      </c>
    </row>
    <row r="9" customFormat="false" ht="15" hidden="false" customHeight="false" outlineLevel="0" collapsed="false">
      <c r="A9" s="0" t="s">
        <v>595</v>
      </c>
      <c r="B9" s="0" t="s">
        <v>596</v>
      </c>
      <c r="C9" s="0" t="s">
        <v>597</v>
      </c>
      <c r="D9" s="0" t="s">
        <v>598</v>
      </c>
      <c r="E9" s="0" t="s">
        <v>599</v>
      </c>
      <c r="F9" s="0" t="s">
        <v>600</v>
      </c>
    </row>
    <row r="10" customFormat="false" ht="15" hidden="false" customHeight="false" outlineLevel="0" collapsed="false">
      <c r="A10" s="0" t="s">
        <v>601</v>
      </c>
      <c r="B10" s="0" t="s">
        <v>602</v>
      </c>
      <c r="C10" s="0" t="s">
        <v>603</v>
      </c>
      <c r="D10" s="0" t="s">
        <v>604</v>
      </c>
      <c r="E10" s="0" t="s">
        <v>605</v>
      </c>
      <c r="F10" s="0" t="s">
        <v>606</v>
      </c>
    </row>
    <row r="11" customFormat="false" ht="15" hidden="false" customHeight="false" outlineLevel="0" collapsed="false">
      <c r="A11" s="0" t="s">
        <v>607</v>
      </c>
      <c r="B11" s="0" t="s">
        <v>608</v>
      </c>
      <c r="C11" s="0" t="s">
        <v>609</v>
      </c>
      <c r="D11" s="0" t="s">
        <v>604</v>
      </c>
      <c r="E11" s="0" t="s">
        <v>610</v>
      </c>
      <c r="F11" s="0" t="s">
        <v>611</v>
      </c>
    </row>
    <row r="12" customFormat="false" ht="15" hidden="false" customHeight="false" outlineLevel="0" collapsed="false">
      <c r="A12" s="0" t="s">
        <v>612</v>
      </c>
      <c r="B12" s="0" t="s">
        <v>613</v>
      </c>
      <c r="C12" s="0" t="s">
        <v>614</v>
      </c>
      <c r="D12" s="0" t="s">
        <v>615</v>
      </c>
      <c r="E12" s="0" t="s">
        <v>616</v>
      </c>
      <c r="F12" s="0" t="s">
        <v>617</v>
      </c>
    </row>
    <row r="13" customFormat="false" ht="15" hidden="false" customHeight="false" outlineLevel="0" collapsed="false">
      <c r="A13" s="0" t="s">
        <v>618</v>
      </c>
      <c r="B13" s="0" t="s">
        <v>619</v>
      </c>
      <c r="C13" s="0" t="s">
        <v>620</v>
      </c>
      <c r="D13" s="0" t="s">
        <v>621</v>
      </c>
      <c r="E13" s="0" t="s">
        <v>622</v>
      </c>
      <c r="F13" s="0" t="s">
        <v>623</v>
      </c>
    </row>
    <row r="14" customFormat="false" ht="15" hidden="false" customHeight="false" outlineLevel="0" collapsed="false">
      <c r="A14" s="0" t="s">
        <v>624</v>
      </c>
      <c r="B14" s="0" t="s">
        <v>625</v>
      </c>
      <c r="C14" s="0" t="s">
        <v>626</v>
      </c>
      <c r="D14" s="0" t="s">
        <v>627</v>
      </c>
      <c r="E14" s="0" t="s">
        <v>628</v>
      </c>
      <c r="F14" s="0" t="s">
        <v>629</v>
      </c>
    </row>
    <row r="15" customFormat="false" ht="15" hidden="false" customHeight="false" outlineLevel="0" collapsed="false">
      <c r="A15" s="0" t="s">
        <v>630</v>
      </c>
      <c r="B15" s="0" t="s">
        <v>631</v>
      </c>
      <c r="C15" s="0" t="s">
        <v>632</v>
      </c>
      <c r="D15" s="0" t="s">
        <v>633</v>
      </c>
      <c r="E15" s="0" t="s">
        <v>634</v>
      </c>
      <c r="F15" s="0" t="s">
        <v>635</v>
      </c>
    </row>
    <row r="16" customFormat="false" ht="15" hidden="false" customHeight="false" outlineLevel="0" collapsed="false">
      <c r="A16" s="0" t="s">
        <v>636</v>
      </c>
      <c r="B16" s="0" t="s">
        <v>637</v>
      </c>
      <c r="C16" s="0" t="s">
        <v>638</v>
      </c>
      <c r="D16" s="0" t="s">
        <v>639</v>
      </c>
      <c r="E16" s="0" t="s">
        <v>640</v>
      </c>
      <c r="F16" s="0" t="s">
        <v>641</v>
      </c>
    </row>
    <row r="17" customFormat="false" ht="15" hidden="false" customHeight="false" outlineLevel="0" collapsed="false">
      <c r="A17" s="0" t="s">
        <v>642</v>
      </c>
      <c r="B17" s="0" t="s">
        <v>643</v>
      </c>
      <c r="C17" s="0" t="s">
        <v>644</v>
      </c>
      <c r="D17" s="0" t="s">
        <v>645</v>
      </c>
      <c r="E17" s="0" t="s">
        <v>646</v>
      </c>
      <c r="F17" s="0" t="s">
        <v>647</v>
      </c>
    </row>
    <row r="18" customFormat="false" ht="15" hidden="false" customHeight="false" outlineLevel="0" collapsed="false">
      <c r="A18" s="0" t="s">
        <v>648</v>
      </c>
      <c r="B18" s="0" t="s">
        <v>649</v>
      </c>
      <c r="C18" s="0" t="s">
        <v>650</v>
      </c>
      <c r="D18" s="0" t="s">
        <v>604</v>
      </c>
      <c r="E18" s="0" t="s">
        <v>651</v>
      </c>
      <c r="F18" s="0" t="s">
        <v>652</v>
      </c>
    </row>
    <row r="19" customFormat="false" ht="15" hidden="false" customHeight="false" outlineLevel="0" collapsed="false">
      <c r="A19" s="0" t="s">
        <v>653</v>
      </c>
      <c r="B19" s="0" t="s">
        <v>654</v>
      </c>
      <c r="C19" s="0" t="s">
        <v>655</v>
      </c>
      <c r="D19" s="0" t="s">
        <v>656</v>
      </c>
      <c r="E19" s="0" t="s">
        <v>657</v>
      </c>
      <c r="F19" s="0" t="s">
        <v>658</v>
      </c>
    </row>
    <row r="20" customFormat="false" ht="15" hidden="false" customHeight="false" outlineLevel="0" collapsed="false">
      <c r="A20" s="0" t="s">
        <v>659</v>
      </c>
      <c r="B20" s="0" t="s">
        <v>660</v>
      </c>
      <c r="C20" s="0" t="s">
        <v>661</v>
      </c>
      <c r="D20" s="0" t="s">
        <v>662</v>
      </c>
      <c r="E20" s="0" t="s">
        <v>663</v>
      </c>
      <c r="F20" s="0" t="s">
        <v>652</v>
      </c>
    </row>
    <row r="21" customFormat="false" ht="15" hidden="false" customHeight="false" outlineLevel="0" collapsed="false">
      <c r="A21" s="0" t="s">
        <v>664</v>
      </c>
      <c r="B21" s="0" t="s">
        <v>665</v>
      </c>
      <c r="C21" s="0" t="s">
        <v>666</v>
      </c>
      <c r="D21" s="0" t="s">
        <v>604</v>
      </c>
      <c r="E21" s="0" t="s">
        <v>667</v>
      </c>
      <c r="F21" s="0" t="s">
        <v>668</v>
      </c>
    </row>
    <row r="22" customFormat="false" ht="15" hidden="false" customHeight="false" outlineLevel="0" collapsed="false">
      <c r="A22" s="0" t="s">
        <v>669</v>
      </c>
      <c r="B22" s="0" t="s">
        <v>670</v>
      </c>
      <c r="C22" s="0" t="s">
        <v>671</v>
      </c>
      <c r="D22" s="0" t="s">
        <v>672</v>
      </c>
      <c r="E22" s="0" t="s">
        <v>673</v>
      </c>
      <c r="F22" s="0" t="s">
        <v>674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5"/>
    <col collapsed="false" customWidth="true" hidden="false" outlineLevel="0" max="3" min="3" style="0" width="60"/>
    <col collapsed="false" customWidth="true" hidden="false" outlineLevel="0" max="4" min="4" style="0" width="50"/>
  </cols>
  <sheetData>
    <row r="1" customFormat="false" ht="15" hidden="false" customHeight="false" outlineLevel="0" collapsed="false">
      <c r="A1" s="1" t="s">
        <v>675</v>
      </c>
    </row>
    <row r="4" customFormat="false" ht="15" hidden="false" customHeight="false" outlineLevel="0" collapsed="false">
      <c r="A4" s="2" t="s">
        <v>676</v>
      </c>
      <c r="B4" s="2" t="s">
        <v>677</v>
      </c>
      <c r="C4" s="2" t="s">
        <v>678</v>
      </c>
      <c r="D4" s="2" t="s">
        <v>679</v>
      </c>
    </row>
    <row r="5" customFormat="false" ht="15" hidden="false" customHeight="false" outlineLevel="0" collapsed="false">
      <c r="A5" s="0" t="s">
        <v>680</v>
      </c>
      <c r="B5" s="0" t="s">
        <v>681</v>
      </c>
      <c r="C5" s="0" t="s">
        <v>682</v>
      </c>
      <c r="D5" s="0" t="s">
        <v>683</v>
      </c>
    </row>
    <row r="6" customFormat="false" ht="15" hidden="false" customHeight="false" outlineLevel="0" collapsed="false">
      <c r="A6" s="0" t="s">
        <v>684</v>
      </c>
      <c r="B6" s="0" t="s">
        <v>685</v>
      </c>
      <c r="C6" s="0" t="s">
        <v>686</v>
      </c>
      <c r="D6" s="0" t="s">
        <v>687</v>
      </c>
    </row>
    <row r="7" customFormat="false" ht="15" hidden="false" customHeight="false" outlineLevel="0" collapsed="false">
      <c r="A7" s="0" t="s">
        <v>688</v>
      </c>
      <c r="B7" s="0" t="s">
        <v>689</v>
      </c>
      <c r="C7" s="0" t="s">
        <v>690</v>
      </c>
      <c r="D7" s="0" t="s">
        <v>691</v>
      </c>
    </row>
    <row r="8" customFormat="false" ht="15" hidden="false" customHeight="false" outlineLevel="0" collapsed="false">
      <c r="A8" s="0" t="s">
        <v>692</v>
      </c>
      <c r="B8" s="0" t="s">
        <v>693</v>
      </c>
      <c r="C8" s="0" t="s">
        <v>694</v>
      </c>
      <c r="D8" s="0" t="s">
        <v>695</v>
      </c>
    </row>
    <row r="9" customFormat="false" ht="15" hidden="false" customHeight="false" outlineLevel="0" collapsed="false">
      <c r="A9" s="0" t="s">
        <v>696</v>
      </c>
      <c r="B9" s="0" t="s">
        <v>697</v>
      </c>
      <c r="C9" s="0" t="s">
        <v>698</v>
      </c>
      <c r="D9" s="0" t="s">
        <v>699</v>
      </c>
    </row>
    <row r="10" customFormat="false" ht="15" hidden="false" customHeight="false" outlineLevel="0" collapsed="false">
      <c r="A10" s="0" t="s">
        <v>700</v>
      </c>
      <c r="B10" s="0" t="s">
        <v>701</v>
      </c>
      <c r="C10" s="0" t="s">
        <v>702</v>
      </c>
      <c r="D10" s="0" t="s">
        <v>703</v>
      </c>
    </row>
    <row r="11" customFormat="false" ht="15" hidden="false" customHeight="false" outlineLevel="0" collapsed="false">
      <c r="A11" s="0" t="s">
        <v>21</v>
      </c>
      <c r="B11" s="0" t="s">
        <v>704</v>
      </c>
      <c r="C11" s="0" t="s">
        <v>705</v>
      </c>
      <c r="D11" s="0" t="s">
        <v>706</v>
      </c>
    </row>
    <row r="12" customFormat="false" ht="15" hidden="false" customHeight="false" outlineLevel="0" collapsed="false">
      <c r="A12" s="0" t="s">
        <v>707</v>
      </c>
      <c r="B12" s="0" t="s">
        <v>708</v>
      </c>
      <c r="C12" s="0" t="s">
        <v>709</v>
      </c>
      <c r="D12" s="0" t="s">
        <v>706</v>
      </c>
    </row>
    <row r="13" customFormat="false" ht="15" hidden="false" customHeight="false" outlineLevel="0" collapsed="false">
      <c r="A13" s="0" t="s">
        <v>710</v>
      </c>
      <c r="B13" s="0" t="s">
        <v>711</v>
      </c>
      <c r="C13" s="0" t="s">
        <v>712</v>
      </c>
      <c r="D13" s="0" t="s">
        <v>713</v>
      </c>
    </row>
    <row r="14" customFormat="false" ht="15" hidden="false" customHeight="false" outlineLevel="0" collapsed="false">
      <c r="A14" s="0" t="s">
        <v>714</v>
      </c>
      <c r="B14" s="0" t="s">
        <v>715</v>
      </c>
      <c r="C14" s="0" t="s">
        <v>716</v>
      </c>
      <c r="D14" s="0" t="s">
        <v>706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6"/>
    <col collapsed="false" customWidth="true" hidden="false" outlineLevel="0" max="3" min="3" style="0" width="11"/>
    <col collapsed="false" customWidth="true" hidden="false" outlineLevel="0" max="4" min="4" style="0" width="22"/>
    <col collapsed="false" customWidth="true" hidden="false" outlineLevel="0" max="5" min="5" style="0" width="10"/>
    <col collapsed="false" customWidth="true" hidden="false" outlineLevel="0" max="6" min="6" style="0" width="30"/>
    <col collapsed="false" customWidth="true" hidden="false" outlineLevel="0" max="7" min="7" style="0" width="13"/>
    <col collapsed="false" customWidth="true" hidden="false" outlineLevel="0" max="9" min="8" style="0" width="9"/>
    <col collapsed="false" customWidth="true" hidden="false" outlineLevel="0" max="10" min="10" style="0" width="22"/>
    <col collapsed="false" customWidth="true" hidden="false" outlineLevel="0" max="11" min="11" style="0" width="60"/>
    <col collapsed="false" customWidth="true" hidden="false" outlineLevel="0" max="12" min="12" style="0" width="26"/>
    <col collapsed="false" customWidth="true" hidden="false" outlineLevel="0" max="13" min="13" style="0" width="50"/>
    <col collapsed="false" customWidth="true" hidden="false" outlineLevel="0" max="14" min="14" style="0" width="13"/>
  </cols>
  <sheetData>
    <row r="1" customFormat="false" ht="15" hidden="false" customHeight="false" outlineLevel="0" collapsed="false">
      <c r="A1" s="1" t="s">
        <v>717</v>
      </c>
    </row>
    <row r="2" customFormat="false" ht="15" hidden="false" customHeight="false" outlineLevel="0" collapsed="false">
      <c r="A2" s="0" t="s">
        <v>718</v>
      </c>
    </row>
    <row r="4" customFormat="false" ht="28.35" hidden="false" customHeight="false" outlineLevel="0" collapsed="false">
      <c r="A4" s="2" t="s">
        <v>295</v>
      </c>
      <c r="B4" s="2" t="s">
        <v>296</v>
      </c>
      <c r="C4" s="2" t="s">
        <v>719</v>
      </c>
      <c r="D4" s="2" t="s">
        <v>720</v>
      </c>
      <c r="E4" s="2" t="s">
        <v>721</v>
      </c>
      <c r="F4" s="2" t="s">
        <v>722</v>
      </c>
      <c r="G4" s="2" t="s">
        <v>723</v>
      </c>
      <c r="H4" s="2" t="s">
        <v>724</v>
      </c>
      <c r="I4" s="2" t="s">
        <v>725</v>
      </c>
      <c r="J4" s="2" t="s">
        <v>726</v>
      </c>
      <c r="K4" s="2" t="s">
        <v>727</v>
      </c>
      <c r="L4" s="2" t="s">
        <v>728</v>
      </c>
      <c r="M4" s="2" t="s">
        <v>729</v>
      </c>
      <c r="N4" s="2" t="s">
        <v>730</v>
      </c>
    </row>
    <row r="5" customFormat="false" ht="15" hidden="false" customHeight="false" outlineLevel="0" collapsed="false">
      <c r="A5" s="0" t="s">
        <v>229</v>
      </c>
      <c r="B5" s="0" t="s">
        <v>230</v>
      </c>
      <c r="C5" s="0" t="n">
        <v>1300</v>
      </c>
      <c r="D5" s="0" t="s">
        <v>731</v>
      </c>
      <c r="E5" s="0" t="s">
        <v>732</v>
      </c>
      <c r="F5" s="0" t="s">
        <v>733</v>
      </c>
      <c r="G5" s="0" t="n">
        <v>56069</v>
      </c>
      <c r="H5" s="0" t="n">
        <v>4.313</v>
      </c>
      <c r="I5" s="0" t="s">
        <v>648</v>
      </c>
      <c r="J5" s="0" t="s">
        <v>734</v>
      </c>
      <c r="K5" s="0" t="s">
        <v>650</v>
      </c>
      <c r="L5" s="0" t="s">
        <v>735</v>
      </c>
      <c r="M5" s="0" t="s">
        <v>736</v>
      </c>
      <c r="N5" s="0" t="n">
        <v>2.32</v>
      </c>
    </row>
    <row r="6" customFormat="false" ht="15" hidden="false" customHeight="false" outlineLevel="0" collapsed="false">
      <c r="A6" s="0" t="s">
        <v>241</v>
      </c>
      <c r="B6" s="0" t="s">
        <v>181</v>
      </c>
      <c r="C6" s="0" t="n">
        <v>195</v>
      </c>
      <c r="D6" s="0" t="s">
        <v>731</v>
      </c>
      <c r="E6" s="0" t="s">
        <v>732</v>
      </c>
      <c r="F6" s="0" t="s">
        <v>733</v>
      </c>
      <c r="G6" s="0" t="n">
        <v>7223</v>
      </c>
      <c r="H6" s="0" t="n">
        <v>3.70410256410256</v>
      </c>
      <c r="I6" s="0" t="s">
        <v>648</v>
      </c>
      <c r="J6" s="0" t="s">
        <v>734</v>
      </c>
      <c r="K6" s="0" t="s">
        <v>650</v>
      </c>
      <c r="L6" s="0" t="s">
        <v>735</v>
      </c>
      <c r="M6" s="0" t="s">
        <v>737</v>
      </c>
      <c r="N6" s="0" t="n">
        <v>2.7</v>
      </c>
    </row>
    <row r="7" customFormat="false" ht="15" hidden="false" customHeight="false" outlineLevel="0" collapsed="false">
      <c r="A7" s="0" t="s">
        <v>233</v>
      </c>
      <c r="B7" s="0" t="s">
        <v>143</v>
      </c>
      <c r="C7" s="0" t="n">
        <v>192</v>
      </c>
      <c r="D7" s="0" t="s">
        <v>731</v>
      </c>
      <c r="E7" s="0" t="s">
        <v>732</v>
      </c>
      <c r="F7" s="0" t="s">
        <v>733</v>
      </c>
      <c r="G7" s="0" t="n">
        <v>45951</v>
      </c>
      <c r="H7" s="0" t="n">
        <v>23.9328125</v>
      </c>
      <c r="I7" s="0" t="s">
        <v>648</v>
      </c>
      <c r="J7" s="0" t="s">
        <v>734</v>
      </c>
      <c r="K7" s="0" t="s">
        <v>650</v>
      </c>
      <c r="L7" s="0" t="s">
        <v>735</v>
      </c>
      <c r="M7" s="0" t="s">
        <v>738</v>
      </c>
      <c r="N7" s="0" t="n">
        <v>0.42</v>
      </c>
    </row>
    <row r="8" customFormat="false" ht="15" hidden="false" customHeight="false" outlineLevel="0" collapsed="false">
      <c r="A8" s="0" t="s">
        <v>237</v>
      </c>
      <c r="B8" s="0" t="s">
        <v>198</v>
      </c>
      <c r="C8" s="0" t="n">
        <v>135</v>
      </c>
      <c r="D8" s="0" t="s">
        <v>731</v>
      </c>
      <c r="E8" s="0" t="s">
        <v>732</v>
      </c>
      <c r="F8" s="0" t="s">
        <v>733</v>
      </c>
      <c r="G8" s="0" t="n">
        <v>13654</v>
      </c>
      <c r="H8" s="0" t="n">
        <v>10.1140740740741</v>
      </c>
      <c r="I8" s="0" t="s">
        <v>648</v>
      </c>
      <c r="J8" s="0" t="s">
        <v>734</v>
      </c>
      <c r="K8" s="0" t="s">
        <v>650</v>
      </c>
      <c r="L8" s="0" t="s">
        <v>735</v>
      </c>
      <c r="M8" s="0" t="s">
        <v>739</v>
      </c>
      <c r="N8" s="0" t="n">
        <v>0.99</v>
      </c>
    </row>
    <row r="9" customFormat="false" ht="15" hidden="false" customHeight="false" outlineLevel="0" collapsed="false">
      <c r="A9" s="0" t="s">
        <v>239</v>
      </c>
      <c r="B9" s="0" t="s">
        <v>230</v>
      </c>
      <c r="C9" s="0" t="n">
        <v>400</v>
      </c>
      <c r="D9" s="0" t="s">
        <v>740</v>
      </c>
      <c r="E9" s="0" t="s">
        <v>741</v>
      </c>
      <c r="F9" s="0" t="s">
        <v>742</v>
      </c>
      <c r="G9" s="0" t="n">
        <v>9136</v>
      </c>
      <c r="H9" s="0" t="n">
        <v>2.284</v>
      </c>
      <c r="I9" s="0" t="s">
        <v>653</v>
      </c>
      <c r="J9" s="0" t="s">
        <v>743</v>
      </c>
      <c r="K9" s="0" t="s">
        <v>655</v>
      </c>
      <c r="L9" s="0" t="s">
        <v>735</v>
      </c>
      <c r="M9" s="0" t="s">
        <v>744</v>
      </c>
      <c r="N9" s="0" t="n">
        <v>4.38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8"/>
    <col collapsed="false" customWidth="true" hidden="false" outlineLevel="0" max="4" min="3" style="0" width="20"/>
    <col collapsed="false" customWidth="true" hidden="false" outlineLevel="0" max="6" min="5" style="0" width="10"/>
    <col collapsed="false" customWidth="true" hidden="false" outlineLevel="0" max="7" min="7" style="0" width="26"/>
    <col collapsed="false" customWidth="true" hidden="false" outlineLevel="0" max="8" min="8" style="0" width="50"/>
    <col collapsed="false" customWidth="true" hidden="false" outlineLevel="0" max="9" min="9" style="0" width="60"/>
    <col collapsed="false" customWidth="true" hidden="false" outlineLevel="0" max="10" min="10" style="0" width="11"/>
    <col collapsed="false" customWidth="true" hidden="false" outlineLevel="0" max="13" min="11" style="0" width="9"/>
  </cols>
  <sheetData>
    <row r="1" customFormat="false" ht="15" hidden="false" customHeight="false" outlineLevel="0" collapsed="false">
      <c r="A1" s="1" t="s">
        <v>745</v>
      </c>
    </row>
    <row r="2" customFormat="false" ht="15" hidden="false" customHeight="false" outlineLevel="0" collapsed="false">
      <c r="A2" s="0" t="s">
        <v>746</v>
      </c>
    </row>
    <row r="4" customFormat="false" ht="41.75" hidden="false" customHeight="false" outlineLevel="0" collapsed="false">
      <c r="A4" s="2" t="s">
        <v>337</v>
      </c>
      <c r="B4" s="2" t="s">
        <v>385</v>
      </c>
      <c r="C4" s="2" t="s">
        <v>386</v>
      </c>
      <c r="D4" s="2" t="s">
        <v>387</v>
      </c>
      <c r="E4" s="2" t="s">
        <v>389</v>
      </c>
      <c r="F4" s="2" t="s">
        <v>390</v>
      </c>
      <c r="G4" s="2" t="s">
        <v>388</v>
      </c>
      <c r="H4" s="2" t="s">
        <v>747</v>
      </c>
      <c r="I4" s="2" t="s">
        <v>399</v>
      </c>
      <c r="J4" s="2" t="s">
        <v>398</v>
      </c>
      <c r="K4" s="2" t="s">
        <v>748</v>
      </c>
      <c r="L4" s="2" t="s">
        <v>394</v>
      </c>
      <c r="M4" s="2" t="s">
        <v>395</v>
      </c>
    </row>
    <row r="5" customFormat="false" ht="15" hidden="false" customHeight="false" outlineLevel="0" collapsed="false">
      <c r="A5" s="0" t="s">
        <v>302</v>
      </c>
      <c r="B5" s="0" t="s">
        <v>154</v>
      </c>
      <c r="C5" s="0" t="s">
        <v>229</v>
      </c>
      <c r="D5" s="0" t="s">
        <v>156</v>
      </c>
      <c r="E5" s="0" t="n">
        <v>141.912</v>
      </c>
      <c r="F5" s="0" t="n">
        <v>143</v>
      </c>
      <c r="G5" s="0" t="s">
        <v>749</v>
      </c>
      <c r="H5" s="0" t="s">
        <v>750</v>
      </c>
      <c r="I5" s="0" t="s">
        <v>751</v>
      </c>
      <c r="J5" s="0" t="s">
        <v>752</v>
      </c>
      <c r="K5" s="0" t="n">
        <v>1.008</v>
      </c>
      <c r="L5" s="0" t="n">
        <v>1</v>
      </c>
      <c r="M5" s="0" t="n">
        <v>1</v>
      </c>
    </row>
    <row r="6" customFormat="false" ht="15" hidden="false" customHeight="false" outlineLevel="0" collapsed="false">
      <c r="A6" s="0" t="s">
        <v>302</v>
      </c>
      <c r="B6" s="0" t="s">
        <v>172</v>
      </c>
      <c r="C6" s="0" t="s">
        <v>229</v>
      </c>
      <c r="D6" s="0" t="s">
        <v>174</v>
      </c>
      <c r="E6" s="0" t="n">
        <v>159.36</v>
      </c>
      <c r="F6" s="0" t="n">
        <v>160</v>
      </c>
      <c r="G6" s="0" t="s">
        <v>749</v>
      </c>
      <c r="H6" s="0" t="s">
        <v>750</v>
      </c>
      <c r="I6" s="0" t="s">
        <v>753</v>
      </c>
      <c r="J6" s="0" t="s">
        <v>752</v>
      </c>
      <c r="K6" s="0" t="n">
        <v>1.004</v>
      </c>
      <c r="L6" s="0" t="n">
        <v>1</v>
      </c>
      <c r="M6" s="0" t="n">
        <v>1</v>
      </c>
    </row>
    <row r="7" customFormat="false" ht="15" hidden="false" customHeight="false" outlineLevel="0" collapsed="false">
      <c r="A7" s="0" t="s">
        <v>307</v>
      </c>
      <c r="B7" s="0" t="s">
        <v>157</v>
      </c>
      <c r="C7" s="0" t="s">
        <v>235</v>
      </c>
      <c r="D7" s="0" t="s">
        <v>159</v>
      </c>
      <c r="E7" s="0" t="n">
        <v>140.776</v>
      </c>
      <c r="F7" s="0" t="n">
        <v>142</v>
      </c>
      <c r="G7" s="0" t="s">
        <v>749</v>
      </c>
      <c r="H7" s="0" t="s">
        <v>754</v>
      </c>
      <c r="I7" s="0" t="s">
        <v>755</v>
      </c>
      <c r="J7" s="0" t="s">
        <v>752</v>
      </c>
      <c r="K7" s="0" t="n">
        <v>1.009</v>
      </c>
      <c r="L7" s="0" t="n">
        <v>1</v>
      </c>
      <c r="M7" s="0" t="n">
        <v>1</v>
      </c>
    </row>
    <row r="8" customFormat="false" ht="15" hidden="false" customHeight="false" outlineLevel="0" collapsed="false">
      <c r="A8" s="0" t="s">
        <v>307</v>
      </c>
      <c r="B8" s="0" t="s">
        <v>163</v>
      </c>
      <c r="C8" s="0" t="s">
        <v>235</v>
      </c>
      <c r="D8" s="0" t="s">
        <v>165</v>
      </c>
      <c r="E8" s="0" t="n">
        <v>154.894</v>
      </c>
      <c r="F8" s="0" t="n">
        <v>157</v>
      </c>
      <c r="G8" s="0" t="s">
        <v>749</v>
      </c>
      <c r="H8" s="0" t="s">
        <v>754</v>
      </c>
      <c r="I8" s="0" t="s">
        <v>756</v>
      </c>
      <c r="J8" s="0" t="s">
        <v>752</v>
      </c>
      <c r="K8" s="0" t="n">
        <v>1.014</v>
      </c>
      <c r="L8" s="0" t="n">
        <v>1</v>
      </c>
      <c r="M8" s="0" t="n">
        <v>1</v>
      </c>
    </row>
    <row r="9" customFormat="false" ht="15" hidden="false" customHeight="false" outlineLevel="0" collapsed="false">
      <c r="A9" s="0" t="s">
        <v>308</v>
      </c>
      <c r="B9" s="0" t="s">
        <v>166</v>
      </c>
      <c r="C9" s="0" t="s">
        <v>237</v>
      </c>
      <c r="D9" s="0" t="s">
        <v>168</v>
      </c>
      <c r="E9" s="0" t="n">
        <v>144.638</v>
      </c>
      <c r="F9" s="0" t="n">
        <v>142</v>
      </c>
      <c r="G9" s="0" t="s">
        <v>749</v>
      </c>
      <c r="H9" s="0" t="s">
        <v>750</v>
      </c>
      <c r="I9" s="0" t="s">
        <v>757</v>
      </c>
      <c r="J9" s="0" t="s">
        <v>752</v>
      </c>
      <c r="K9" s="0" t="n">
        <v>0.982</v>
      </c>
      <c r="L9" s="0" t="n">
        <v>1</v>
      </c>
      <c r="M9" s="0" t="n">
        <v>1</v>
      </c>
    </row>
    <row r="10" customFormat="false" ht="15" hidden="false" customHeight="false" outlineLevel="0" collapsed="false">
      <c r="A10" s="0" t="s">
        <v>308</v>
      </c>
      <c r="B10" s="0" t="s">
        <v>175</v>
      </c>
      <c r="C10" s="0" t="s">
        <v>237</v>
      </c>
      <c r="D10" s="0" t="s">
        <v>177</v>
      </c>
      <c r="E10" s="0" t="n">
        <v>147.326</v>
      </c>
      <c r="F10" s="0" t="n">
        <v>143</v>
      </c>
      <c r="G10" s="0" t="s">
        <v>749</v>
      </c>
      <c r="H10" s="0" t="s">
        <v>750</v>
      </c>
      <c r="I10" s="0" t="s">
        <v>758</v>
      </c>
      <c r="J10" s="0" t="s">
        <v>752</v>
      </c>
      <c r="K10" s="0" t="n">
        <v>0.971</v>
      </c>
      <c r="L10" s="0" t="n">
        <v>1</v>
      </c>
      <c r="M10" s="0" t="n">
        <v>1</v>
      </c>
    </row>
    <row r="11" customFormat="false" ht="15" hidden="false" customHeight="false" outlineLevel="0" collapsed="false">
      <c r="A11" s="0" t="s">
        <v>308</v>
      </c>
      <c r="B11" s="0" t="s">
        <v>182</v>
      </c>
      <c r="C11" s="0" t="s">
        <v>237</v>
      </c>
      <c r="D11" s="0" t="s">
        <v>184</v>
      </c>
      <c r="E11" s="0" t="n">
        <v>151.364</v>
      </c>
      <c r="F11" s="0" t="n">
        <v>143</v>
      </c>
      <c r="G11" s="0" t="s">
        <v>749</v>
      </c>
      <c r="H11" s="0" t="s">
        <v>759</v>
      </c>
      <c r="I11" s="0" t="s">
        <v>760</v>
      </c>
      <c r="J11" s="0" t="s">
        <v>752</v>
      </c>
      <c r="K11" s="0" t="n">
        <v>0.945</v>
      </c>
      <c r="L11" s="0" t="n">
        <v>1</v>
      </c>
      <c r="M11" s="0" t="n">
        <v>1</v>
      </c>
    </row>
    <row r="12" customFormat="false" ht="15" hidden="false" customHeight="false" outlineLevel="0" collapsed="false">
      <c r="A12" s="0" t="s">
        <v>309</v>
      </c>
      <c r="B12" s="0" t="s">
        <v>154</v>
      </c>
      <c r="C12" s="0" t="s">
        <v>239</v>
      </c>
      <c r="D12" s="0" t="s">
        <v>156</v>
      </c>
      <c r="E12" s="0" t="n">
        <v>145.575</v>
      </c>
      <c r="F12" s="0" t="n">
        <v>147</v>
      </c>
      <c r="G12" s="0" t="s">
        <v>749</v>
      </c>
      <c r="H12" s="0" t="s">
        <v>750</v>
      </c>
      <c r="I12" s="0" t="s">
        <v>761</v>
      </c>
      <c r="J12" s="0" t="s">
        <v>752</v>
      </c>
      <c r="K12" s="0" t="n">
        <v>1.01</v>
      </c>
      <c r="L12" s="0" t="n">
        <v>1</v>
      </c>
      <c r="M12" s="0" t="n">
        <v>1</v>
      </c>
    </row>
    <row r="13" customFormat="false" ht="15" hidden="false" customHeight="false" outlineLevel="0" collapsed="false">
      <c r="A13" s="0" t="s">
        <v>311</v>
      </c>
      <c r="B13" s="0" t="s">
        <v>154</v>
      </c>
      <c r="C13" s="0" t="s">
        <v>243</v>
      </c>
      <c r="D13" s="0" t="s">
        <v>156</v>
      </c>
      <c r="E13" s="0" t="n">
        <v>155.968</v>
      </c>
      <c r="F13" s="0" t="n">
        <v>158</v>
      </c>
      <c r="G13" s="0" t="s">
        <v>749</v>
      </c>
      <c r="H13" s="0" t="s">
        <v>750</v>
      </c>
      <c r="I13" s="0" t="s">
        <v>762</v>
      </c>
      <c r="J13" s="0" t="s">
        <v>752</v>
      </c>
      <c r="K13" s="0" t="n">
        <v>1.013</v>
      </c>
      <c r="L13" s="0" t="n">
        <v>1</v>
      </c>
      <c r="M13" s="0" t="n">
        <v>1</v>
      </c>
    </row>
    <row r="14" customFormat="false" ht="15" hidden="false" customHeight="false" outlineLevel="0" collapsed="false">
      <c r="A14" s="0" t="s">
        <v>311</v>
      </c>
      <c r="B14" s="0" t="s">
        <v>185</v>
      </c>
      <c r="C14" s="0" t="s">
        <v>243</v>
      </c>
      <c r="D14" s="0" t="s">
        <v>187</v>
      </c>
      <c r="E14" s="0" t="n">
        <v>156.142</v>
      </c>
      <c r="F14" s="0" t="n">
        <v>159</v>
      </c>
      <c r="G14" s="0" t="s">
        <v>749</v>
      </c>
      <c r="H14" s="0" t="s">
        <v>754</v>
      </c>
      <c r="I14" s="0" t="s">
        <v>763</v>
      </c>
      <c r="J14" s="0" t="s">
        <v>752</v>
      </c>
      <c r="K14" s="0" t="n">
        <v>1.018</v>
      </c>
      <c r="L14" s="0" t="n">
        <v>1</v>
      </c>
      <c r="M14" s="0" t="n">
        <v>1</v>
      </c>
    </row>
    <row r="15" customFormat="false" ht="15" hidden="false" customHeight="false" outlineLevel="0" collapsed="false">
      <c r="A15" s="0" t="s">
        <v>312</v>
      </c>
      <c r="B15" s="0" t="s">
        <v>154</v>
      </c>
      <c r="C15" s="0" t="s">
        <v>246</v>
      </c>
      <c r="D15" s="0" t="s">
        <v>156</v>
      </c>
      <c r="E15" s="0" t="n">
        <v>140.683</v>
      </c>
      <c r="F15" s="0" t="n">
        <v>142</v>
      </c>
      <c r="G15" s="0" t="s">
        <v>749</v>
      </c>
      <c r="H15" s="0" t="s">
        <v>750</v>
      </c>
      <c r="I15" s="0" t="s">
        <v>764</v>
      </c>
      <c r="J15" s="0" t="s">
        <v>752</v>
      </c>
      <c r="K15" s="0" t="n">
        <v>1.009</v>
      </c>
      <c r="L15" s="0" t="n">
        <v>1</v>
      </c>
      <c r="M15" s="0" t="n">
        <v>1</v>
      </c>
    </row>
    <row r="16" customFormat="false" ht="15" hidden="false" customHeight="false" outlineLevel="0" collapsed="false">
      <c r="A16" s="0" t="s">
        <v>312</v>
      </c>
      <c r="B16" s="0" t="s">
        <v>172</v>
      </c>
      <c r="C16" s="0" t="s">
        <v>246</v>
      </c>
      <c r="D16" s="0" t="s">
        <v>174</v>
      </c>
      <c r="E16" s="0" t="n">
        <v>158.131</v>
      </c>
      <c r="F16" s="0" t="n">
        <v>142</v>
      </c>
      <c r="G16" s="0" t="s">
        <v>749</v>
      </c>
      <c r="H16" s="0" t="s">
        <v>754</v>
      </c>
      <c r="I16" s="0" t="s">
        <v>765</v>
      </c>
      <c r="J16" s="0" t="s">
        <v>752</v>
      </c>
      <c r="K16" s="0" t="n">
        <v>0.898</v>
      </c>
      <c r="L16" s="0" t="n">
        <v>1</v>
      </c>
      <c r="M16" s="0" t="n">
        <v>1</v>
      </c>
    </row>
    <row r="17" customFormat="false" ht="15" hidden="false" customHeight="false" outlineLevel="0" collapsed="false">
      <c r="A17" s="0" t="s">
        <v>312</v>
      </c>
      <c r="B17" s="0" t="s">
        <v>182</v>
      </c>
      <c r="C17" s="0" t="s">
        <v>246</v>
      </c>
      <c r="D17" s="0" t="s">
        <v>184</v>
      </c>
      <c r="E17" s="0" t="n">
        <v>144.042</v>
      </c>
      <c r="F17" s="0" t="n">
        <v>141</v>
      </c>
      <c r="G17" s="0" t="s">
        <v>749</v>
      </c>
      <c r="H17" s="0" t="s">
        <v>754</v>
      </c>
      <c r="I17" s="0" t="s">
        <v>766</v>
      </c>
      <c r="J17" s="0" t="s">
        <v>752</v>
      </c>
      <c r="K17" s="0" t="n">
        <v>0.979</v>
      </c>
      <c r="L17" s="0" t="n">
        <v>1</v>
      </c>
      <c r="M17" s="0" t="n">
        <v>1</v>
      </c>
    </row>
    <row r="18" customFormat="false" ht="15" hidden="false" customHeight="false" outlineLevel="0" collapsed="false">
      <c r="A18" s="0" t="s">
        <v>314</v>
      </c>
      <c r="B18" s="0" t="s">
        <v>166</v>
      </c>
      <c r="C18" s="0" t="s">
        <v>251</v>
      </c>
      <c r="D18" s="0" t="s">
        <v>168</v>
      </c>
      <c r="E18" s="0" t="n">
        <v>141.97</v>
      </c>
      <c r="F18" s="0" t="n">
        <v>143</v>
      </c>
      <c r="G18" s="0" t="s">
        <v>749</v>
      </c>
      <c r="H18" s="0" t="s">
        <v>750</v>
      </c>
      <c r="I18" s="0" t="s">
        <v>767</v>
      </c>
      <c r="J18" s="0" t="s">
        <v>752</v>
      </c>
      <c r="K18" s="0" t="n">
        <v>1.007</v>
      </c>
      <c r="L18" s="0" t="n">
        <v>1</v>
      </c>
      <c r="M18" s="0" t="n">
        <v>1</v>
      </c>
    </row>
    <row r="19" customFormat="false" ht="15" hidden="false" customHeight="false" outlineLevel="0" collapsed="false">
      <c r="A19" s="0" t="s">
        <v>314</v>
      </c>
      <c r="B19" s="0" t="s">
        <v>175</v>
      </c>
      <c r="C19" s="0" t="s">
        <v>251</v>
      </c>
      <c r="D19" s="0" t="s">
        <v>177</v>
      </c>
      <c r="E19" s="0" t="n">
        <v>144.658</v>
      </c>
      <c r="F19" s="0" t="n">
        <v>145</v>
      </c>
      <c r="G19" s="0" t="s">
        <v>749</v>
      </c>
      <c r="H19" s="0" t="s">
        <v>750</v>
      </c>
      <c r="I19" s="0" t="s">
        <v>768</v>
      </c>
      <c r="J19" s="0" t="s">
        <v>752</v>
      </c>
      <c r="K19" s="0" t="n">
        <v>1.002</v>
      </c>
      <c r="L19" s="0" t="n">
        <v>1</v>
      </c>
      <c r="M19" s="0" t="n">
        <v>1</v>
      </c>
    </row>
    <row r="20" customFormat="false" ht="15" hidden="false" customHeight="false" outlineLevel="0" collapsed="false">
      <c r="A20" s="0" t="s">
        <v>314</v>
      </c>
      <c r="B20" s="0" t="s">
        <v>182</v>
      </c>
      <c r="C20" s="0" t="s">
        <v>251</v>
      </c>
      <c r="D20" s="0" t="s">
        <v>184</v>
      </c>
      <c r="E20" s="0" t="n">
        <v>153.874</v>
      </c>
      <c r="F20" s="0" t="n">
        <v>151</v>
      </c>
      <c r="G20" s="0" t="s">
        <v>749</v>
      </c>
      <c r="H20" s="0" t="s">
        <v>754</v>
      </c>
      <c r="I20" s="0" t="s">
        <v>769</v>
      </c>
      <c r="J20" s="0" t="s">
        <v>752</v>
      </c>
      <c r="K20" s="0" t="n">
        <v>0.981</v>
      </c>
      <c r="L20" s="0" t="n">
        <v>1</v>
      </c>
      <c r="M20" s="0" t="n">
        <v>1</v>
      </c>
    </row>
    <row r="21" customFormat="false" ht="15" hidden="false" customHeight="false" outlineLevel="0" collapsed="false">
      <c r="A21" s="0" t="s">
        <v>315</v>
      </c>
      <c r="B21" s="0" t="s">
        <v>148</v>
      </c>
      <c r="C21" s="0" t="s">
        <v>253</v>
      </c>
      <c r="D21" s="0" t="s">
        <v>150</v>
      </c>
      <c r="E21" s="0" t="n">
        <v>159.519</v>
      </c>
      <c r="F21" s="0" t="n">
        <v>163</v>
      </c>
      <c r="G21" s="0" t="s">
        <v>749</v>
      </c>
      <c r="H21" s="0" t="s">
        <v>750</v>
      </c>
      <c r="I21" s="0" t="s">
        <v>770</v>
      </c>
      <c r="J21" s="0" t="s">
        <v>752</v>
      </c>
      <c r="K21" s="0" t="n">
        <v>1.022</v>
      </c>
      <c r="L21" s="0" t="n">
        <v>1</v>
      </c>
      <c r="M21" s="0" t="n">
        <v>1</v>
      </c>
    </row>
    <row r="22" customFormat="false" ht="15" hidden="false" customHeight="false" outlineLevel="0" collapsed="false">
      <c r="A22" s="0" t="s">
        <v>315</v>
      </c>
      <c r="B22" s="0" t="s">
        <v>163</v>
      </c>
      <c r="C22" s="0" t="s">
        <v>253</v>
      </c>
      <c r="D22" s="0" t="s">
        <v>165</v>
      </c>
      <c r="E22" s="0" t="n">
        <v>150.365</v>
      </c>
      <c r="F22" s="0" t="n">
        <v>155</v>
      </c>
      <c r="G22" s="0" t="s">
        <v>749</v>
      </c>
      <c r="H22" s="0" t="s">
        <v>750</v>
      </c>
      <c r="I22" s="0" t="s">
        <v>771</v>
      </c>
      <c r="J22" s="0" t="s">
        <v>752</v>
      </c>
      <c r="K22" s="0" t="n">
        <v>1.031</v>
      </c>
      <c r="L22" s="0" t="n">
        <v>1</v>
      </c>
      <c r="M22" s="0" t="n">
        <v>1</v>
      </c>
    </row>
    <row r="23" customFormat="false" ht="15" hidden="false" customHeight="false" outlineLevel="0" collapsed="false">
      <c r="A23" s="0" t="s">
        <v>318</v>
      </c>
      <c r="B23" s="0" t="s">
        <v>154</v>
      </c>
      <c r="C23" s="0" t="s">
        <v>259</v>
      </c>
      <c r="D23" s="0" t="s">
        <v>156</v>
      </c>
      <c r="E23" s="0" t="n">
        <v>151.16</v>
      </c>
      <c r="F23" s="0" t="n">
        <v>152</v>
      </c>
      <c r="G23" s="0" t="s">
        <v>749</v>
      </c>
      <c r="H23" s="0" t="s">
        <v>772</v>
      </c>
      <c r="I23" s="0" t="s">
        <v>773</v>
      </c>
      <c r="J23" s="0" t="s">
        <v>752</v>
      </c>
      <c r="K23" s="0" t="n">
        <v>1.006</v>
      </c>
      <c r="L23" s="0" t="n">
        <v>1</v>
      </c>
      <c r="M23" s="0" t="n">
        <v>1</v>
      </c>
    </row>
    <row r="24" customFormat="false" ht="15" hidden="false" customHeight="false" outlineLevel="0" collapsed="false">
      <c r="A24" s="0" t="s">
        <v>320</v>
      </c>
      <c r="B24" s="0" t="s">
        <v>157</v>
      </c>
      <c r="C24" s="0" t="s">
        <v>263</v>
      </c>
      <c r="D24" s="0" t="s">
        <v>159</v>
      </c>
      <c r="E24" s="0" t="n">
        <v>151.027</v>
      </c>
      <c r="F24" s="0" t="n">
        <v>153</v>
      </c>
      <c r="G24" s="0" t="s">
        <v>749</v>
      </c>
      <c r="H24" s="0" t="s">
        <v>772</v>
      </c>
      <c r="I24" s="0" t="s">
        <v>774</v>
      </c>
      <c r="J24" s="0" t="s">
        <v>752</v>
      </c>
      <c r="K24" s="0" t="n">
        <v>1.013</v>
      </c>
      <c r="L24" s="0" t="n">
        <v>1</v>
      </c>
      <c r="M24" s="0" t="n">
        <v>1</v>
      </c>
    </row>
    <row r="25" customFormat="false" ht="15" hidden="false" customHeight="false" outlineLevel="0" collapsed="false">
      <c r="A25" s="0" t="s">
        <v>320</v>
      </c>
      <c r="B25" s="0" t="s">
        <v>160</v>
      </c>
      <c r="C25" s="0" t="s">
        <v>263</v>
      </c>
      <c r="D25" s="0" t="s">
        <v>162</v>
      </c>
      <c r="E25" s="0" t="n">
        <v>147.638</v>
      </c>
      <c r="F25" s="0" t="n">
        <v>149</v>
      </c>
      <c r="G25" s="0" t="s">
        <v>749</v>
      </c>
      <c r="H25" s="0" t="s">
        <v>772</v>
      </c>
      <c r="I25" s="0" t="s">
        <v>775</v>
      </c>
      <c r="J25" s="0" t="s">
        <v>752</v>
      </c>
      <c r="K25" s="0" t="n">
        <v>1.009</v>
      </c>
      <c r="L25" s="0" t="n">
        <v>1</v>
      </c>
      <c r="M25" s="0" t="n">
        <v>1</v>
      </c>
    </row>
    <row r="26" customFormat="false" ht="15" hidden="false" customHeight="false" outlineLevel="0" collapsed="false">
      <c r="A26" s="0" t="s">
        <v>320</v>
      </c>
      <c r="B26" s="0" t="s">
        <v>169</v>
      </c>
      <c r="C26" s="0" t="s">
        <v>263</v>
      </c>
      <c r="D26" s="0" t="s">
        <v>171</v>
      </c>
      <c r="E26" s="0" t="n">
        <v>155.232</v>
      </c>
      <c r="F26" s="0" t="n">
        <v>156</v>
      </c>
      <c r="G26" s="0" t="s">
        <v>749</v>
      </c>
      <c r="H26" s="0" t="s">
        <v>772</v>
      </c>
      <c r="I26" s="0" t="s">
        <v>776</v>
      </c>
      <c r="J26" s="0" t="s">
        <v>752</v>
      </c>
      <c r="K26" s="0" t="n">
        <v>1.005</v>
      </c>
      <c r="L26" s="0" t="n">
        <v>1</v>
      </c>
      <c r="M26" s="0" t="n">
        <v>1</v>
      </c>
    </row>
    <row r="27" customFormat="false" ht="15" hidden="false" customHeight="false" outlineLevel="0" collapsed="false">
      <c r="A27" s="0" t="s">
        <v>320</v>
      </c>
      <c r="B27" s="0" t="s">
        <v>182</v>
      </c>
      <c r="C27" s="0" t="s">
        <v>263</v>
      </c>
      <c r="D27" s="0" t="s">
        <v>184</v>
      </c>
      <c r="E27" s="0" t="n">
        <v>154.554</v>
      </c>
      <c r="F27" s="0" t="n">
        <v>147</v>
      </c>
      <c r="G27" s="0" t="s">
        <v>749</v>
      </c>
      <c r="H27" s="0" t="s">
        <v>754</v>
      </c>
      <c r="I27" s="0" t="s">
        <v>777</v>
      </c>
      <c r="J27" s="0" t="s">
        <v>752</v>
      </c>
      <c r="K27" s="0" t="n">
        <v>0.951</v>
      </c>
      <c r="L27" s="0" t="n">
        <v>1</v>
      </c>
      <c r="M27" s="0" t="n">
        <v>1</v>
      </c>
    </row>
    <row r="28" customFormat="false" ht="15" hidden="false" customHeight="false" outlineLevel="0" collapsed="false">
      <c r="A28" s="0" t="s">
        <v>321</v>
      </c>
      <c r="B28" s="0" t="s">
        <v>140</v>
      </c>
      <c r="C28" s="0" t="s">
        <v>265</v>
      </c>
      <c r="D28" s="0" t="s">
        <v>142</v>
      </c>
      <c r="E28" s="0" t="n">
        <v>145.891</v>
      </c>
      <c r="F28" s="0" t="n">
        <v>153</v>
      </c>
      <c r="G28" s="0" t="s">
        <v>749</v>
      </c>
      <c r="H28" s="0" t="s">
        <v>772</v>
      </c>
      <c r="I28" s="0" t="s">
        <v>778</v>
      </c>
      <c r="J28" s="0" t="s">
        <v>752</v>
      </c>
      <c r="K28" s="0" t="n">
        <v>1.049</v>
      </c>
      <c r="L28" s="0" t="n">
        <v>1</v>
      </c>
      <c r="M28" s="0" t="n">
        <v>1</v>
      </c>
    </row>
    <row r="29" customFormat="false" ht="15" hidden="false" customHeight="false" outlineLevel="0" collapsed="false">
      <c r="A29" s="0" t="s">
        <v>321</v>
      </c>
      <c r="B29" s="0" t="s">
        <v>157</v>
      </c>
      <c r="C29" s="0" t="s">
        <v>265</v>
      </c>
      <c r="D29" s="0" t="s">
        <v>159</v>
      </c>
      <c r="E29" s="0" t="n">
        <v>159.425</v>
      </c>
      <c r="F29" s="0" t="n">
        <v>161</v>
      </c>
      <c r="G29" s="0" t="s">
        <v>749</v>
      </c>
      <c r="H29" s="0" t="s">
        <v>772</v>
      </c>
      <c r="I29" s="0" t="s">
        <v>779</v>
      </c>
      <c r="J29" s="0" t="s">
        <v>752</v>
      </c>
      <c r="K29" s="0" t="n">
        <v>1.01</v>
      </c>
      <c r="L29" s="0" t="n">
        <v>1</v>
      </c>
      <c r="M29" s="0" t="n">
        <v>1</v>
      </c>
    </row>
    <row r="30" customFormat="false" ht="15" hidden="false" customHeight="false" outlineLevel="0" collapsed="false">
      <c r="A30" s="0" t="s">
        <v>321</v>
      </c>
      <c r="B30" s="0" t="s">
        <v>160</v>
      </c>
      <c r="C30" s="0" t="s">
        <v>265</v>
      </c>
      <c r="D30" s="0" t="s">
        <v>162</v>
      </c>
      <c r="E30" s="0" t="n">
        <v>156.036</v>
      </c>
      <c r="F30" s="0" t="n">
        <v>158</v>
      </c>
      <c r="G30" s="0" t="s">
        <v>749</v>
      </c>
      <c r="H30" s="0" t="s">
        <v>772</v>
      </c>
      <c r="I30" s="0" t="s">
        <v>780</v>
      </c>
      <c r="J30" s="0" t="s">
        <v>752</v>
      </c>
      <c r="K30" s="0" t="n">
        <v>1.013</v>
      </c>
      <c r="L30" s="0" t="n">
        <v>1</v>
      </c>
      <c r="M30" s="0" t="n">
        <v>1</v>
      </c>
    </row>
    <row r="31" customFormat="false" ht="15" hidden="false" customHeight="false" outlineLevel="0" collapsed="false">
      <c r="A31" s="0" t="s">
        <v>322</v>
      </c>
      <c r="B31" s="0" t="s">
        <v>151</v>
      </c>
      <c r="C31" s="0" t="s">
        <v>267</v>
      </c>
      <c r="D31" s="0" t="s">
        <v>153</v>
      </c>
      <c r="E31" s="0" t="n">
        <v>148.715</v>
      </c>
      <c r="F31" s="0" t="n">
        <v>149</v>
      </c>
      <c r="G31" s="0" t="s">
        <v>749</v>
      </c>
      <c r="H31" s="0" t="s">
        <v>750</v>
      </c>
      <c r="I31" s="0" t="s">
        <v>781</v>
      </c>
      <c r="J31" s="0" t="s">
        <v>752</v>
      </c>
      <c r="K31" s="0" t="n">
        <v>1.002</v>
      </c>
      <c r="L31" s="0" t="n">
        <v>1</v>
      </c>
      <c r="M31" s="0" t="n">
        <v>1</v>
      </c>
    </row>
    <row r="32" customFormat="false" ht="15" hidden="false" customHeight="false" outlineLevel="0" collapsed="false">
      <c r="A32" s="0" t="s">
        <v>323</v>
      </c>
      <c r="B32" s="0" t="s">
        <v>148</v>
      </c>
      <c r="C32" s="0" t="s">
        <v>269</v>
      </c>
      <c r="D32" s="0" t="s">
        <v>150</v>
      </c>
      <c r="E32" s="0" t="n">
        <v>153.8</v>
      </c>
      <c r="F32" s="0" t="n">
        <v>154</v>
      </c>
      <c r="G32" s="0" t="s">
        <v>749</v>
      </c>
      <c r="H32" s="0" t="s">
        <v>754</v>
      </c>
      <c r="I32" s="0" t="s">
        <v>782</v>
      </c>
      <c r="J32" s="0" t="s">
        <v>752</v>
      </c>
      <c r="K32" s="0" t="n">
        <v>1.001</v>
      </c>
      <c r="L32" s="0" t="n">
        <v>1</v>
      </c>
      <c r="M32" s="0" t="n">
        <v>1</v>
      </c>
    </row>
    <row r="33" customFormat="false" ht="15" hidden="false" customHeight="false" outlineLevel="0" collapsed="false">
      <c r="A33" s="0" t="s">
        <v>323</v>
      </c>
      <c r="B33" s="0" t="s">
        <v>163</v>
      </c>
      <c r="C33" s="0" t="s">
        <v>269</v>
      </c>
      <c r="D33" s="0" t="s">
        <v>165</v>
      </c>
      <c r="E33" s="0" t="n">
        <v>144.646</v>
      </c>
      <c r="F33" s="0" t="n">
        <v>146</v>
      </c>
      <c r="G33" s="0" t="s">
        <v>749</v>
      </c>
      <c r="H33" s="0" t="s">
        <v>750</v>
      </c>
      <c r="I33" s="0" t="s">
        <v>783</v>
      </c>
      <c r="J33" s="0" t="s">
        <v>752</v>
      </c>
      <c r="K33" s="0" t="n">
        <v>1.009</v>
      </c>
      <c r="L33" s="0" t="n">
        <v>1</v>
      </c>
      <c r="M33" s="0" t="n">
        <v>1</v>
      </c>
    </row>
    <row r="34" customFormat="false" ht="15" hidden="false" customHeight="false" outlineLevel="0" collapsed="false">
      <c r="A34" s="0" t="s">
        <v>324</v>
      </c>
      <c r="B34" s="0" t="s">
        <v>163</v>
      </c>
      <c r="C34" s="0" t="s">
        <v>271</v>
      </c>
      <c r="D34" s="0" t="s">
        <v>165</v>
      </c>
      <c r="E34" s="0" t="n">
        <v>157.528</v>
      </c>
      <c r="F34" s="0" t="n">
        <v>159</v>
      </c>
      <c r="G34" s="0" t="s">
        <v>749</v>
      </c>
      <c r="H34" s="0" t="s">
        <v>754</v>
      </c>
      <c r="I34" s="0" t="s">
        <v>784</v>
      </c>
      <c r="J34" s="0" t="s">
        <v>752</v>
      </c>
      <c r="K34" s="0" t="n">
        <v>1.009</v>
      </c>
      <c r="L34" s="0" t="n">
        <v>1</v>
      </c>
      <c r="M34" s="0" t="n">
        <v>1</v>
      </c>
    </row>
    <row r="35" customFormat="false" ht="15" hidden="false" customHeight="false" outlineLevel="0" collapsed="false">
      <c r="A35" s="0" t="s">
        <v>324</v>
      </c>
      <c r="B35" s="0" t="s">
        <v>169</v>
      </c>
      <c r="C35" s="0" t="s">
        <v>271</v>
      </c>
      <c r="D35" s="0" t="s">
        <v>171</v>
      </c>
      <c r="E35" s="0" t="n">
        <v>143.606</v>
      </c>
      <c r="F35" s="0" t="n">
        <v>143</v>
      </c>
      <c r="G35" s="0" t="s">
        <v>749</v>
      </c>
      <c r="H35" s="0" t="s">
        <v>754</v>
      </c>
      <c r="I35" s="0" t="s">
        <v>785</v>
      </c>
      <c r="J35" s="0" t="s">
        <v>752</v>
      </c>
      <c r="K35" s="0" t="n">
        <v>0.996</v>
      </c>
      <c r="L35" s="0" t="n">
        <v>1</v>
      </c>
      <c r="M35" s="0" t="n">
        <v>1</v>
      </c>
    </row>
    <row r="36" customFormat="false" ht="15" hidden="false" customHeight="false" outlineLevel="0" collapsed="false">
      <c r="A36" s="0" t="s">
        <v>324</v>
      </c>
      <c r="B36" s="0" t="s">
        <v>178</v>
      </c>
      <c r="C36" s="0" t="s">
        <v>271</v>
      </c>
      <c r="D36" s="0" t="s">
        <v>180</v>
      </c>
      <c r="E36" s="0" t="n">
        <v>140.237</v>
      </c>
      <c r="F36" s="0" t="n">
        <v>129</v>
      </c>
      <c r="G36" s="0" t="s">
        <v>749</v>
      </c>
      <c r="H36" s="0" t="s">
        <v>754</v>
      </c>
      <c r="I36" s="0" t="s">
        <v>786</v>
      </c>
      <c r="J36" s="0" t="s">
        <v>752</v>
      </c>
      <c r="K36" s="0" t="n">
        <v>0.92</v>
      </c>
      <c r="L36" s="0" t="n">
        <v>1</v>
      </c>
      <c r="M36" s="0" t="n">
        <v>1</v>
      </c>
    </row>
    <row r="37" customFormat="false" ht="15" hidden="false" customHeight="false" outlineLevel="0" collapsed="false">
      <c r="A37" s="0" t="s">
        <v>325</v>
      </c>
      <c r="B37" s="0" t="s">
        <v>145</v>
      </c>
      <c r="C37" s="0" t="s">
        <v>273</v>
      </c>
      <c r="D37" s="0" t="s">
        <v>147</v>
      </c>
      <c r="E37" s="0" t="n">
        <v>155.253</v>
      </c>
      <c r="F37" s="0" t="n">
        <v>156</v>
      </c>
      <c r="G37" s="0" t="s">
        <v>749</v>
      </c>
      <c r="H37" s="0" t="s">
        <v>772</v>
      </c>
      <c r="I37" s="0" t="s">
        <v>787</v>
      </c>
      <c r="J37" s="0" t="s">
        <v>752</v>
      </c>
      <c r="K37" s="0" t="n">
        <v>1.005</v>
      </c>
      <c r="L37" s="0" t="n">
        <v>1</v>
      </c>
      <c r="M37" s="0" t="n">
        <v>1</v>
      </c>
    </row>
    <row r="38" customFormat="false" ht="15" hidden="false" customHeight="false" outlineLevel="0" collapsed="false">
      <c r="A38" s="0" t="s">
        <v>326</v>
      </c>
      <c r="B38" s="0" t="s">
        <v>166</v>
      </c>
      <c r="C38" s="0" t="s">
        <v>275</v>
      </c>
      <c r="D38" s="0" t="s">
        <v>168</v>
      </c>
      <c r="E38" s="0" t="n">
        <v>151.513</v>
      </c>
      <c r="F38" s="0" t="n">
        <v>153</v>
      </c>
      <c r="G38" s="0" t="s">
        <v>749</v>
      </c>
      <c r="H38" s="0" t="s">
        <v>772</v>
      </c>
      <c r="I38" s="0" t="s">
        <v>788</v>
      </c>
      <c r="J38" s="0" t="s">
        <v>752</v>
      </c>
      <c r="K38" s="0" t="n">
        <v>1.01</v>
      </c>
      <c r="L38" s="0" t="n">
        <v>1</v>
      </c>
      <c r="M38" s="0" t="n">
        <v>1</v>
      </c>
    </row>
    <row r="39" customFormat="false" ht="15" hidden="false" customHeight="false" outlineLevel="0" collapsed="false">
      <c r="A39" s="0" t="s">
        <v>326</v>
      </c>
      <c r="B39" s="0" t="s">
        <v>172</v>
      </c>
      <c r="C39" s="0" t="s">
        <v>275</v>
      </c>
      <c r="D39" s="0" t="s">
        <v>174</v>
      </c>
      <c r="E39" s="0" t="n">
        <v>142.487</v>
      </c>
      <c r="F39" s="0" t="n">
        <v>143</v>
      </c>
      <c r="G39" s="0" t="s">
        <v>749</v>
      </c>
      <c r="H39" s="0" t="s">
        <v>772</v>
      </c>
      <c r="I39" s="0" t="s">
        <v>789</v>
      </c>
      <c r="J39" s="0" t="s">
        <v>752</v>
      </c>
      <c r="K39" s="0" t="n">
        <v>1.004</v>
      </c>
      <c r="L39" s="0" t="n">
        <v>1</v>
      </c>
      <c r="M39" s="0" t="n">
        <v>1</v>
      </c>
    </row>
    <row r="40" customFormat="false" ht="15" hidden="false" customHeight="false" outlineLevel="0" collapsed="false">
      <c r="A40" s="0" t="s">
        <v>326</v>
      </c>
      <c r="B40" s="0" t="s">
        <v>175</v>
      </c>
      <c r="C40" s="0" t="s">
        <v>275</v>
      </c>
      <c r="D40" s="0" t="s">
        <v>177</v>
      </c>
      <c r="E40" s="0" t="n">
        <v>154.2</v>
      </c>
      <c r="F40" s="0" t="n">
        <v>155</v>
      </c>
      <c r="G40" s="0" t="s">
        <v>749</v>
      </c>
      <c r="H40" s="0" t="s">
        <v>772</v>
      </c>
      <c r="I40" s="0" t="s">
        <v>790</v>
      </c>
      <c r="J40" s="0" t="s">
        <v>752</v>
      </c>
      <c r="K40" s="0" t="n">
        <v>1.005</v>
      </c>
      <c r="L40" s="0" t="n">
        <v>1</v>
      </c>
      <c r="M40" s="0" t="n">
        <v>1</v>
      </c>
    </row>
    <row r="41" customFormat="false" ht="15" hidden="false" customHeight="false" outlineLevel="0" collapsed="false">
      <c r="A41" s="0" t="s">
        <v>328</v>
      </c>
      <c r="B41" s="0" t="s">
        <v>172</v>
      </c>
      <c r="C41" s="0" t="s">
        <v>279</v>
      </c>
      <c r="D41" s="0" t="s">
        <v>174</v>
      </c>
      <c r="E41" s="0" t="n">
        <v>155.117</v>
      </c>
      <c r="F41" s="0" t="n">
        <v>155</v>
      </c>
      <c r="G41" s="0" t="s">
        <v>749</v>
      </c>
      <c r="H41" s="0" t="s">
        <v>754</v>
      </c>
      <c r="I41" s="0" t="s">
        <v>791</v>
      </c>
      <c r="J41" s="0" t="s">
        <v>752</v>
      </c>
      <c r="K41" s="0" t="n">
        <v>0.999</v>
      </c>
      <c r="L41" s="0" t="n">
        <v>1</v>
      </c>
      <c r="M41" s="0" t="n">
        <v>1</v>
      </c>
    </row>
    <row r="42" customFormat="false" ht="15" hidden="false" customHeight="false" outlineLevel="0" collapsed="false">
      <c r="A42" s="0" t="s">
        <v>328</v>
      </c>
      <c r="B42" s="0" t="s">
        <v>185</v>
      </c>
      <c r="C42" s="0" t="s">
        <v>279</v>
      </c>
      <c r="D42" s="0" t="s">
        <v>187</v>
      </c>
      <c r="E42" s="0" t="n">
        <v>155.901</v>
      </c>
      <c r="F42" s="0" t="n">
        <v>168</v>
      </c>
      <c r="G42" s="0" t="s">
        <v>749</v>
      </c>
      <c r="H42" s="0" t="s">
        <v>754</v>
      </c>
      <c r="I42" s="0" t="s">
        <v>792</v>
      </c>
      <c r="J42" s="0" t="s">
        <v>752</v>
      </c>
      <c r="K42" s="0" t="n">
        <v>1.078</v>
      </c>
      <c r="L42" s="0" t="n">
        <v>1</v>
      </c>
      <c r="M42" s="0" t="n">
        <v>1</v>
      </c>
    </row>
    <row r="43" customFormat="false" ht="15" hidden="false" customHeight="false" outlineLevel="0" collapsed="false">
      <c r="A43" s="0" t="s">
        <v>330</v>
      </c>
      <c r="B43" s="0" t="s">
        <v>178</v>
      </c>
      <c r="C43" s="0" t="s">
        <v>283</v>
      </c>
      <c r="D43" s="0" t="s">
        <v>180</v>
      </c>
      <c r="E43" s="0" t="n">
        <v>159.059</v>
      </c>
      <c r="F43" s="0" t="n">
        <v>161</v>
      </c>
      <c r="G43" s="0" t="s">
        <v>749</v>
      </c>
      <c r="H43" s="0" t="s">
        <v>750</v>
      </c>
      <c r="I43" s="0" t="s">
        <v>793</v>
      </c>
      <c r="J43" s="0" t="s">
        <v>752</v>
      </c>
      <c r="K43" s="0" t="n">
        <v>1.012</v>
      </c>
      <c r="L43" s="0" t="n">
        <v>1</v>
      </c>
      <c r="M43" s="0" t="n">
        <v>1</v>
      </c>
    </row>
    <row r="44" customFormat="false" ht="15" hidden="false" customHeight="false" outlineLevel="0" collapsed="false">
      <c r="A44" s="0" t="s">
        <v>331</v>
      </c>
      <c r="B44" s="0" t="s">
        <v>140</v>
      </c>
      <c r="C44" s="0" t="s">
        <v>285</v>
      </c>
      <c r="D44" s="0" t="s">
        <v>142</v>
      </c>
      <c r="E44" s="0" t="n">
        <v>144.811</v>
      </c>
      <c r="F44" s="0" t="n">
        <v>151</v>
      </c>
      <c r="G44" s="0" t="s">
        <v>749</v>
      </c>
      <c r="H44" s="0" t="s">
        <v>750</v>
      </c>
      <c r="I44" s="0" t="s">
        <v>794</v>
      </c>
      <c r="J44" s="0" t="s">
        <v>752</v>
      </c>
      <c r="K44" s="0" t="n">
        <v>1.043</v>
      </c>
      <c r="L44" s="0" t="n">
        <v>1</v>
      </c>
      <c r="M44" s="0" t="n">
        <v>1</v>
      </c>
    </row>
    <row r="45" customFormat="false" ht="15" hidden="false" customHeight="false" outlineLevel="0" collapsed="false">
      <c r="A45" s="0" t="s">
        <v>331</v>
      </c>
      <c r="B45" s="0" t="s">
        <v>157</v>
      </c>
      <c r="C45" s="0" t="s">
        <v>285</v>
      </c>
      <c r="D45" s="0" t="s">
        <v>159</v>
      </c>
      <c r="E45" s="0" t="n">
        <v>158.346</v>
      </c>
      <c r="F45" s="0" t="n">
        <v>159</v>
      </c>
      <c r="G45" s="0" t="s">
        <v>749</v>
      </c>
      <c r="H45" s="0" t="s">
        <v>750</v>
      </c>
      <c r="I45" s="0" t="s">
        <v>795</v>
      </c>
      <c r="J45" s="0" t="s">
        <v>752</v>
      </c>
      <c r="K45" s="0" t="n">
        <v>1.004</v>
      </c>
      <c r="L45" s="0" t="n">
        <v>1</v>
      </c>
      <c r="M45" s="0" t="n">
        <v>1</v>
      </c>
    </row>
    <row r="46" customFormat="false" ht="15" hidden="false" customHeight="false" outlineLevel="0" collapsed="false">
      <c r="A46" s="0" t="s">
        <v>331</v>
      </c>
      <c r="B46" s="0" t="s">
        <v>160</v>
      </c>
      <c r="C46" s="0" t="s">
        <v>285</v>
      </c>
      <c r="D46" s="0" t="s">
        <v>162</v>
      </c>
      <c r="E46" s="0" t="n">
        <v>154.956</v>
      </c>
      <c r="F46" s="0" t="n">
        <v>156</v>
      </c>
      <c r="G46" s="0" t="s">
        <v>749</v>
      </c>
      <c r="H46" s="0" t="s">
        <v>750</v>
      </c>
      <c r="I46" s="0" t="s">
        <v>796</v>
      </c>
      <c r="J46" s="0" t="s">
        <v>752</v>
      </c>
      <c r="K46" s="0" t="n">
        <v>1.007</v>
      </c>
      <c r="L46" s="0" t="n">
        <v>1</v>
      </c>
      <c r="M46" s="0" t="n">
        <v>1</v>
      </c>
    </row>
    <row r="47" customFormat="false" ht="15" hidden="false" customHeight="false" outlineLevel="0" collapsed="false">
      <c r="A47" s="0" t="s">
        <v>332</v>
      </c>
      <c r="B47" s="0" t="s">
        <v>166</v>
      </c>
      <c r="C47" s="0" t="s">
        <v>287</v>
      </c>
      <c r="D47" s="0" t="s">
        <v>168</v>
      </c>
      <c r="E47" s="0" t="n">
        <v>155.701</v>
      </c>
      <c r="F47" s="0" t="n">
        <v>153</v>
      </c>
      <c r="G47" s="0" t="s">
        <v>749</v>
      </c>
      <c r="H47" s="0" t="s">
        <v>750</v>
      </c>
      <c r="I47" s="0" t="s">
        <v>797</v>
      </c>
      <c r="J47" s="0" t="s">
        <v>752</v>
      </c>
      <c r="K47" s="0" t="n">
        <v>0.983</v>
      </c>
      <c r="L47" s="0" t="n">
        <v>1</v>
      </c>
      <c r="M47" s="0" t="n">
        <v>1</v>
      </c>
    </row>
    <row r="48" customFormat="false" ht="15" hidden="false" customHeight="false" outlineLevel="0" collapsed="false">
      <c r="A48" s="0" t="s">
        <v>332</v>
      </c>
      <c r="B48" s="0" t="s">
        <v>172</v>
      </c>
      <c r="C48" s="0" t="s">
        <v>287</v>
      </c>
      <c r="D48" s="0" t="s">
        <v>174</v>
      </c>
      <c r="E48" s="0" t="n">
        <v>146.676</v>
      </c>
      <c r="F48" s="0" t="n">
        <v>143</v>
      </c>
      <c r="G48" s="0" t="s">
        <v>749</v>
      </c>
      <c r="H48" s="0" t="s">
        <v>750</v>
      </c>
      <c r="I48" s="0" t="s">
        <v>798</v>
      </c>
      <c r="J48" s="0" t="s">
        <v>752</v>
      </c>
      <c r="K48" s="0" t="n">
        <v>0.975</v>
      </c>
      <c r="L48" s="0" t="n">
        <v>1</v>
      </c>
      <c r="M48" s="0" t="n">
        <v>1</v>
      </c>
    </row>
    <row r="49" customFormat="false" ht="15" hidden="false" customHeight="false" outlineLevel="0" collapsed="false">
      <c r="A49" s="0" t="s">
        <v>332</v>
      </c>
      <c r="B49" s="0" t="s">
        <v>175</v>
      </c>
      <c r="C49" s="0" t="s">
        <v>287</v>
      </c>
      <c r="D49" s="0" t="s">
        <v>177</v>
      </c>
      <c r="E49" s="0" t="n">
        <v>158.389</v>
      </c>
      <c r="F49" s="0" t="n">
        <v>155</v>
      </c>
      <c r="G49" s="0" t="s">
        <v>749</v>
      </c>
      <c r="H49" s="0" t="s">
        <v>750</v>
      </c>
      <c r="I49" s="0" t="s">
        <v>799</v>
      </c>
      <c r="J49" s="0" t="s">
        <v>752</v>
      </c>
      <c r="K49" s="0" t="n">
        <v>0.979</v>
      </c>
      <c r="L49" s="0" t="n">
        <v>1</v>
      </c>
      <c r="M49" s="0" t="n">
        <v>1</v>
      </c>
    </row>
    <row r="50" customFormat="false" ht="15" hidden="false" customHeight="false" outlineLevel="0" collapsed="false">
      <c r="A50" s="0" t="s">
        <v>333</v>
      </c>
      <c r="B50" s="0" t="s">
        <v>166</v>
      </c>
      <c r="C50" s="0" t="s">
        <v>289</v>
      </c>
      <c r="D50" s="0" t="s">
        <v>168</v>
      </c>
      <c r="E50" s="0" t="n">
        <v>148.361</v>
      </c>
      <c r="F50" s="0" t="n">
        <v>148</v>
      </c>
      <c r="G50" s="0" t="s">
        <v>749</v>
      </c>
      <c r="H50" s="0" t="s">
        <v>750</v>
      </c>
      <c r="I50" s="0" t="s">
        <v>800</v>
      </c>
      <c r="J50" s="0" t="s">
        <v>752</v>
      </c>
      <c r="K50" s="0" t="n">
        <v>0.998</v>
      </c>
      <c r="L50" s="0" t="n">
        <v>1</v>
      </c>
      <c r="M50" s="0" t="n">
        <v>1</v>
      </c>
    </row>
    <row r="51" customFormat="false" ht="15" hidden="false" customHeight="false" outlineLevel="0" collapsed="false">
      <c r="A51" s="0" t="s">
        <v>333</v>
      </c>
      <c r="B51" s="0" t="s">
        <v>175</v>
      </c>
      <c r="C51" s="0" t="s">
        <v>289</v>
      </c>
      <c r="D51" s="0" t="s">
        <v>177</v>
      </c>
      <c r="E51" s="0" t="n">
        <v>151.048</v>
      </c>
      <c r="F51" s="0" t="n">
        <v>150</v>
      </c>
      <c r="G51" s="0" t="s">
        <v>749</v>
      </c>
      <c r="H51" s="0" t="s">
        <v>750</v>
      </c>
      <c r="I51" s="0" t="s">
        <v>801</v>
      </c>
      <c r="J51" s="0" t="s">
        <v>752</v>
      </c>
      <c r="K51" s="0" t="n">
        <v>0.993</v>
      </c>
      <c r="L51" s="0" t="n">
        <v>1</v>
      </c>
      <c r="M51" s="0" t="n">
        <v>1</v>
      </c>
    </row>
    <row r="52" customFormat="false" ht="15" hidden="false" customHeight="false" outlineLevel="0" collapsed="false">
      <c r="A52" s="0" t="s">
        <v>333</v>
      </c>
      <c r="B52" s="0" t="s">
        <v>182</v>
      </c>
      <c r="C52" s="0" t="s">
        <v>289</v>
      </c>
      <c r="D52" s="0" t="s">
        <v>184</v>
      </c>
      <c r="E52" s="0" t="n">
        <v>149.409</v>
      </c>
      <c r="F52" s="0" t="n">
        <v>143</v>
      </c>
      <c r="G52" s="0" t="s">
        <v>749</v>
      </c>
      <c r="H52" s="0" t="s">
        <v>754</v>
      </c>
      <c r="I52" s="0" t="s">
        <v>802</v>
      </c>
      <c r="J52" s="0" t="s">
        <v>752</v>
      </c>
      <c r="K52" s="0" t="n">
        <v>0.957</v>
      </c>
      <c r="L52" s="0" t="n">
        <v>1</v>
      </c>
      <c r="M52" s="0"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3"/>
    <col collapsed="false" customWidth="true" hidden="false" outlineLevel="0" max="3" min="3" style="0" width="58"/>
    <col collapsed="false" customWidth="true" hidden="false" outlineLevel="0" max="4" min="4" style="0" width="12"/>
    <col collapsed="false" customWidth="true" hidden="false" outlineLevel="0" max="5" min="5" style="0" width="11"/>
    <col collapsed="false" customWidth="true" hidden="false" outlineLevel="0" max="6" min="6" style="0" width="110"/>
  </cols>
  <sheetData>
    <row r="1" customFormat="false" ht="15" hidden="false" customHeight="false" outlineLevel="0" collapsed="false">
      <c r="A1" s="1" t="s">
        <v>803</v>
      </c>
    </row>
    <row r="2" customFormat="false" ht="15" hidden="false" customHeight="false" outlineLevel="0" collapsed="false">
      <c r="A2" s="0" t="s">
        <v>804</v>
      </c>
    </row>
    <row r="4" customFormat="false" ht="28.35" hidden="false" customHeight="false" outlineLevel="0" collapsed="false">
      <c r="A4" s="2" t="s">
        <v>293</v>
      </c>
      <c r="B4" s="2" t="s">
        <v>805</v>
      </c>
      <c r="C4" s="2" t="s">
        <v>806</v>
      </c>
      <c r="D4" s="2" t="s">
        <v>807</v>
      </c>
      <c r="E4" s="2" t="s">
        <v>808</v>
      </c>
      <c r="F4" s="2" t="s">
        <v>809</v>
      </c>
    </row>
    <row r="5" customFormat="false" ht="15" hidden="false" customHeight="false" outlineLevel="0" collapsed="false">
      <c r="A5" s="0" t="s">
        <v>810</v>
      </c>
      <c r="B5" s="0" t="s">
        <v>811</v>
      </c>
      <c r="C5" s="0" t="s">
        <v>812</v>
      </c>
      <c r="D5" s="0" t="s">
        <v>813</v>
      </c>
      <c r="E5" s="37" t="s">
        <v>814</v>
      </c>
      <c r="F5" s="0" t="s">
        <v>815</v>
      </c>
    </row>
    <row r="6" customFormat="false" ht="15" hidden="false" customHeight="false" outlineLevel="0" collapsed="false">
      <c r="A6" s="0" t="s">
        <v>816</v>
      </c>
      <c r="B6" s="0" t="s">
        <v>811</v>
      </c>
      <c r="C6" s="0" t="s">
        <v>817</v>
      </c>
      <c r="D6" s="0" t="s">
        <v>813</v>
      </c>
      <c r="E6" s="37" t="s">
        <v>814</v>
      </c>
      <c r="F6" s="0" t="s">
        <v>818</v>
      </c>
    </row>
    <row r="7" customFormat="false" ht="15" hidden="false" customHeight="false" outlineLevel="0" collapsed="false">
      <c r="A7" s="0" t="s">
        <v>819</v>
      </c>
      <c r="B7" s="0" t="s">
        <v>811</v>
      </c>
      <c r="C7" s="0" t="s">
        <v>820</v>
      </c>
      <c r="D7" s="0" t="s">
        <v>813</v>
      </c>
      <c r="E7" s="37" t="s">
        <v>814</v>
      </c>
      <c r="F7" s="0" t="s">
        <v>821</v>
      </c>
    </row>
    <row r="8" customFormat="false" ht="15" hidden="false" customHeight="false" outlineLevel="0" collapsed="false">
      <c r="A8" s="0" t="s">
        <v>822</v>
      </c>
      <c r="B8" s="0" t="s">
        <v>811</v>
      </c>
      <c r="C8" s="0" t="s">
        <v>823</v>
      </c>
      <c r="D8" s="0" t="s">
        <v>813</v>
      </c>
      <c r="E8" s="37" t="s">
        <v>814</v>
      </c>
      <c r="F8" s="0" t="s">
        <v>824</v>
      </c>
    </row>
    <row r="9" customFormat="false" ht="15" hidden="false" customHeight="false" outlineLevel="0" collapsed="false">
      <c r="A9" s="0" t="s">
        <v>825</v>
      </c>
      <c r="B9" s="0" t="s">
        <v>811</v>
      </c>
      <c r="C9" s="0" t="s">
        <v>826</v>
      </c>
      <c r="D9" s="0" t="s">
        <v>813</v>
      </c>
      <c r="E9" s="37" t="s">
        <v>814</v>
      </c>
      <c r="F9" s="0" t="s">
        <v>827</v>
      </c>
    </row>
    <row r="10" customFormat="false" ht="15" hidden="false" customHeight="false" outlineLevel="0" collapsed="false">
      <c r="A10" s="0" t="s">
        <v>828</v>
      </c>
      <c r="B10" s="0" t="s">
        <v>811</v>
      </c>
      <c r="C10" s="0" t="s">
        <v>829</v>
      </c>
      <c r="D10" s="0" t="s">
        <v>813</v>
      </c>
      <c r="E10" s="37" t="s">
        <v>814</v>
      </c>
      <c r="F10" s="0" t="s">
        <v>830</v>
      </c>
    </row>
    <row r="11" customFormat="false" ht="15" hidden="false" customHeight="false" outlineLevel="0" collapsed="false">
      <c r="A11" s="0" t="s">
        <v>831</v>
      </c>
      <c r="B11" s="0" t="s">
        <v>811</v>
      </c>
      <c r="C11" s="0" t="s">
        <v>832</v>
      </c>
      <c r="D11" s="0" t="s">
        <v>813</v>
      </c>
      <c r="E11" s="37" t="s">
        <v>814</v>
      </c>
      <c r="F11" s="0" t="s">
        <v>833</v>
      </c>
    </row>
    <row r="12" customFormat="false" ht="15" hidden="false" customHeight="false" outlineLevel="0" collapsed="false">
      <c r="A12" s="0" t="s">
        <v>834</v>
      </c>
      <c r="B12" s="0" t="s">
        <v>811</v>
      </c>
      <c r="C12" s="0" t="s">
        <v>835</v>
      </c>
      <c r="D12" s="0" t="s">
        <v>836</v>
      </c>
      <c r="E12" s="37" t="s">
        <v>814</v>
      </c>
      <c r="F12" s="0" t="s">
        <v>837</v>
      </c>
    </row>
    <row r="13" customFormat="false" ht="15" hidden="false" customHeight="false" outlineLevel="0" collapsed="false">
      <c r="A13" s="0" t="s">
        <v>838</v>
      </c>
      <c r="B13" s="0" t="s">
        <v>811</v>
      </c>
      <c r="C13" s="0" t="s">
        <v>839</v>
      </c>
      <c r="D13" s="0" t="s">
        <v>836</v>
      </c>
      <c r="E13" s="38" t="s">
        <v>836</v>
      </c>
      <c r="F13" s="0" t="s">
        <v>840</v>
      </c>
    </row>
    <row r="14" customFormat="false" ht="15" hidden="false" customHeight="false" outlineLevel="0" collapsed="false">
      <c r="A14" s="0" t="s">
        <v>841</v>
      </c>
      <c r="B14" s="0" t="s">
        <v>811</v>
      </c>
      <c r="C14" s="0" t="s">
        <v>842</v>
      </c>
      <c r="D14" s="0" t="s">
        <v>836</v>
      </c>
      <c r="E14" s="38" t="s">
        <v>836</v>
      </c>
      <c r="F14" s="0" t="s">
        <v>843</v>
      </c>
    </row>
    <row r="15" customFormat="false" ht="15" hidden="false" customHeight="false" outlineLevel="0" collapsed="false">
      <c r="A15" s="0" t="s">
        <v>844</v>
      </c>
      <c r="B15" s="0" t="s">
        <v>811</v>
      </c>
      <c r="C15" s="0" t="s">
        <v>845</v>
      </c>
      <c r="D15" s="0" t="s">
        <v>836</v>
      </c>
      <c r="E15" s="38" t="s">
        <v>836</v>
      </c>
      <c r="F15" s="0" t="s">
        <v>846</v>
      </c>
    </row>
    <row r="16" customFormat="false" ht="15" hidden="false" customHeight="false" outlineLevel="0" collapsed="false">
      <c r="A16" s="0" t="s">
        <v>140</v>
      </c>
      <c r="B16" s="0" t="s">
        <v>847</v>
      </c>
      <c r="C16" s="0" t="s">
        <v>848</v>
      </c>
      <c r="D16" s="0" t="s">
        <v>813</v>
      </c>
      <c r="E16" s="37" t="s">
        <v>814</v>
      </c>
      <c r="F16" s="0" t="s">
        <v>849</v>
      </c>
    </row>
    <row r="17" customFormat="false" ht="15" hidden="false" customHeight="false" outlineLevel="0" collapsed="false">
      <c r="A17" s="0" t="s">
        <v>145</v>
      </c>
      <c r="B17" s="0" t="s">
        <v>847</v>
      </c>
      <c r="C17" s="0" t="s">
        <v>850</v>
      </c>
      <c r="D17" s="0" t="s">
        <v>813</v>
      </c>
      <c r="E17" s="37" t="s">
        <v>814</v>
      </c>
      <c r="F17" s="0" t="s">
        <v>851</v>
      </c>
    </row>
    <row r="18" customFormat="false" ht="15" hidden="false" customHeight="false" outlineLevel="0" collapsed="false">
      <c r="A18" s="0" t="s">
        <v>148</v>
      </c>
      <c r="B18" s="0" t="s">
        <v>847</v>
      </c>
      <c r="C18" s="0" t="s">
        <v>852</v>
      </c>
      <c r="D18" s="0" t="s">
        <v>813</v>
      </c>
      <c r="E18" s="37" t="s">
        <v>814</v>
      </c>
      <c r="F18" s="0" t="s">
        <v>853</v>
      </c>
    </row>
    <row r="19" customFormat="false" ht="15" hidden="false" customHeight="false" outlineLevel="0" collapsed="false">
      <c r="A19" s="0" t="s">
        <v>151</v>
      </c>
      <c r="B19" s="0" t="s">
        <v>847</v>
      </c>
      <c r="C19" s="0" t="s">
        <v>854</v>
      </c>
      <c r="D19" s="0" t="s">
        <v>813</v>
      </c>
      <c r="E19" s="37" t="s">
        <v>814</v>
      </c>
      <c r="F19" s="0" t="s">
        <v>855</v>
      </c>
    </row>
    <row r="20" customFormat="false" ht="15" hidden="false" customHeight="false" outlineLevel="0" collapsed="false">
      <c r="A20" s="0" t="s">
        <v>154</v>
      </c>
      <c r="B20" s="0" t="s">
        <v>847</v>
      </c>
      <c r="C20" s="0" t="s">
        <v>856</v>
      </c>
      <c r="D20" s="0" t="s">
        <v>813</v>
      </c>
      <c r="E20" s="37" t="s">
        <v>814</v>
      </c>
      <c r="F20" s="0" t="s">
        <v>857</v>
      </c>
    </row>
    <row r="21" customFormat="false" ht="15" hidden="false" customHeight="false" outlineLevel="0" collapsed="false">
      <c r="A21" s="0" t="s">
        <v>157</v>
      </c>
      <c r="B21" s="0" t="s">
        <v>847</v>
      </c>
      <c r="C21" s="0" t="s">
        <v>858</v>
      </c>
      <c r="D21" s="0" t="s">
        <v>836</v>
      </c>
      <c r="E21" s="38" t="s">
        <v>836</v>
      </c>
      <c r="F21" s="0" t="s">
        <v>859</v>
      </c>
    </row>
    <row r="22" customFormat="false" ht="15" hidden="false" customHeight="false" outlineLevel="0" collapsed="false">
      <c r="A22" s="0" t="s">
        <v>160</v>
      </c>
      <c r="B22" s="0" t="s">
        <v>847</v>
      </c>
      <c r="C22" s="0" t="s">
        <v>860</v>
      </c>
      <c r="D22" s="0" t="s">
        <v>836</v>
      </c>
      <c r="E22" s="38" t="s">
        <v>836</v>
      </c>
      <c r="F22" s="0" t="s">
        <v>861</v>
      </c>
    </row>
    <row r="23" customFormat="false" ht="15" hidden="false" customHeight="false" outlineLevel="0" collapsed="false">
      <c r="A23" s="0" t="s">
        <v>31</v>
      </c>
      <c r="B23" s="0" t="s">
        <v>862</v>
      </c>
      <c r="C23" s="0" t="s">
        <v>863</v>
      </c>
      <c r="D23" s="0" t="s">
        <v>813</v>
      </c>
      <c r="E23" s="37" t="s">
        <v>814</v>
      </c>
      <c r="F23" s="0" t="s">
        <v>864</v>
      </c>
    </row>
    <row r="24" customFormat="false" ht="15" hidden="false" customHeight="false" outlineLevel="0" collapsed="false">
      <c r="A24" s="0" t="s">
        <v>36</v>
      </c>
      <c r="B24" s="0" t="s">
        <v>862</v>
      </c>
      <c r="C24" s="0" t="s">
        <v>865</v>
      </c>
      <c r="D24" s="0" t="s">
        <v>813</v>
      </c>
      <c r="E24" s="37" t="s">
        <v>814</v>
      </c>
      <c r="F24" s="0" t="s">
        <v>866</v>
      </c>
    </row>
    <row r="25" customFormat="false" ht="15" hidden="false" customHeight="false" outlineLevel="0" collapsed="false">
      <c r="A25" s="0" t="s">
        <v>40</v>
      </c>
      <c r="B25" s="0" t="s">
        <v>862</v>
      </c>
      <c r="C25" s="0" t="s">
        <v>867</v>
      </c>
      <c r="D25" s="0" t="s">
        <v>813</v>
      </c>
      <c r="E25" s="37" t="s">
        <v>814</v>
      </c>
      <c r="F25" s="0" t="s">
        <v>868</v>
      </c>
    </row>
    <row r="26" customFormat="false" ht="15" hidden="false" customHeight="false" outlineLevel="0" collapsed="false">
      <c r="A26" s="0" t="s">
        <v>44</v>
      </c>
      <c r="B26" s="0" t="s">
        <v>862</v>
      </c>
      <c r="C26" s="0" t="s">
        <v>869</v>
      </c>
      <c r="D26" s="0" t="s">
        <v>813</v>
      </c>
      <c r="E26" s="37" t="s">
        <v>814</v>
      </c>
      <c r="F26" s="0" t="s">
        <v>870</v>
      </c>
    </row>
    <row r="27" customFormat="false" ht="15" hidden="false" customHeight="false" outlineLevel="0" collapsed="false">
      <c r="A27" s="0" t="s">
        <v>49</v>
      </c>
      <c r="B27" s="0" t="s">
        <v>862</v>
      </c>
      <c r="C27" s="0" t="s">
        <v>871</v>
      </c>
      <c r="D27" s="0" t="s">
        <v>813</v>
      </c>
      <c r="E27" s="37" t="s">
        <v>814</v>
      </c>
      <c r="F27" s="0" t="s">
        <v>872</v>
      </c>
    </row>
    <row r="28" customFormat="false" ht="15" hidden="false" customHeight="false" outlineLevel="0" collapsed="false">
      <c r="A28" s="0" t="s">
        <v>53</v>
      </c>
      <c r="B28" s="0" t="s">
        <v>862</v>
      </c>
      <c r="C28" s="0" t="s">
        <v>873</v>
      </c>
      <c r="D28" s="0" t="s">
        <v>836</v>
      </c>
      <c r="E28" s="38" t="s">
        <v>836</v>
      </c>
      <c r="F28" s="0" t="s">
        <v>874</v>
      </c>
    </row>
    <row r="29" customFormat="false" ht="15" hidden="false" customHeight="false" outlineLevel="0" collapsed="false">
      <c r="A29" s="0" t="s">
        <v>875</v>
      </c>
      <c r="B29" s="0" t="s">
        <v>680</v>
      </c>
      <c r="C29" s="0" t="s">
        <v>876</v>
      </c>
      <c r="D29" s="0" t="s">
        <v>813</v>
      </c>
      <c r="E29" s="37" t="s">
        <v>814</v>
      </c>
      <c r="F29" s="0" t="s">
        <v>877</v>
      </c>
    </row>
    <row r="30" customFormat="false" ht="15" hidden="false" customHeight="false" outlineLevel="0" collapsed="false">
      <c r="A30" s="0" t="s">
        <v>878</v>
      </c>
      <c r="B30" s="0" t="s">
        <v>684</v>
      </c>
      <c r="C30" s="0" t="s">
        <v>879</v>
      </c>
      <c r="D30" s="0" t="s">
        <v>813</v>
      </c>
      <c r="E30" s="37" t="s">
        <v>814</v>
      </c>
      <c r="F30" s="0" t="s">
        <v>880</v>
      </c>
    </row>
    <row r="31" customFormat="false" ht="15" hidden="false" customHeight="false" outlineLevel="0" collapsed="false">
      <c r="A31" s="0" t="s">
        <v>881</v>
      </c>
      <c r="B31" s="0" t="s">
        <v>684</v>
      </c>
      <c r="C31" s="0" t="s">
        <v>882</v>
      </c>
      <c r="D31" s="0" t="s">
        <v>813</v>
      </c>
      <c r="E31" s="37" t="s">
        <v>814</v>
      </c>
      <c r="F31" s="0" t="s">
        <v>883</v>
      </c>
    </row>
    <row r="32" customFormat="false" ht="15" hidden="false" customHeight="false" outlineLevel="0" collapsed="false">
      <c r="A32" s="0" t="s">
        <v>884</v>
      </c>
      <c r="B32" s="0" t="s">
        <v>684</v>
      </c>
      <c r="C32" s="0" t="s">
        <v>885</v>
      </c>
      <c r="D32" s="0" t="s">
        <v>836</v>
      </c>
      <c r="E32" s="38" t="s">
        <v>836</v>
      </c>
      <c r="F32" s="0" t="s">
        <v>886</v>
      </c>
    </row>
    <row r="33" customFormat="false" ht="15" hidden="false" customHeight="false" outlineLevel="0" collapsed="false">
      <c r="A33" s="0" t="s">
        <v>887</v>
      </c>
      <c r="B33" s="0" t="s">
        <v>684</v>
      </c>
      <c r="C33" s="0" t="s">
        <v>888</v>
      </c>
      <c r="D33" s="0" t="s">
        <v>813</v>
      </c>
      <c r="E33" s="37" t="s">
        <v>814</v>
      </c>
      <c r="F33" s="0" t="s">
        <v>889</v>
      </c>
    </row>
    <row r="34" customFormat="false" ht="15" hidden="false" customHeight="false" outlineLevel="0" collapsed="false">
      <c r="A34" s="0" t="s">
        <v>890</v>
      </c>
      <c r="B34" s="0" t="s">
        <v>684</v>
      </c>
      <c r="C34" s="0" t="s">
        <v>891</v>
      </c>
      <c r="D34" s="0" t="s">
        <v>836</v>
      </c>
      <c r="E34" s="38" t="s">
        <v>836</v>
      </c>
      <c r="F34" s="0" t="s">
        <v>892</v>
      </c>
    </row>
    <row r="35" customFormat="false" ht="15" hidden="false" customHeight="false" outlineLevel="0" collapsed="false">
      <c r="A35" s="0" t="s">
        <v>893</v>
      </c>
      <c r="B35" s="0" t="s">
        <v>684</v>
      </c>
      <c r="C35" s="0" t="s">
        <v>894</v>
      </c>
      <c r="D35" s="0" t="s">
        <v>813</v>
      </c>
      <c r="E35" s="37" t="s">
        <v>814</v>
      </c>
      <c r="F35" s="0" t="s">
        <v>895</v>
      </c>
    </row>
    <row r="36" customFormat="false" ht="15" hidden="false" customHeight="false" outlineLevel="0" collapsed="false">
      <c r="A36" s="0" t="s">
        <v>896</v>
      </c>
      <c r="B36" s="0" t="s">
        <v>684</v>
      </c>
      <c r="C36" s="0" t="s">
        <v>897</v>
      </c>
      <c r="D36" s="0" t="s">
        <v>813</v>
      </c>
      <c r="E36" s="37" t="s">
        <v>814</v>
      </c>
      <c r="F36" s="0" t="s">
        <v>898</v>
      </c>
    </row>
    <row r="37" customFormat="false" ht="15" hidden="false" customHeight="false" outlineLevel="0" collapsed="false">
      <c r="A37" s="0" t="s">
        <v>899</v>
      </c>
      <c r="B37" s="0" t="s">
        <v>684</v>
      </c>
      <c r="C37" s="0" t="s">
        <v>900</v>
      </c>
      <c r="D37" s="0" t="s">
        <v>836</v>
      </c>
      <c r="E37" s="38" t="s">
        <v>836</v>
      </c>
      <c r="F37" s="0" t="s">
        <v>901</v>
      </c>
    </row>
    <row r="38" customFormat="false" ht="15" hidden="false" customHeight="false" outlineLevel="0" collapsed="false">
      <c r="A38" s="0" t="s">
        <v>902</v>
      </c>
      <c r="B38" s="0" t="s">
        <v>684</v>
      </c>
      <c r="C38" s="0" t="s">
        <v>903</v>
      </c>
      <c r="D38" s="0" t="s">
        <v>836</v>
      </c>
      <c r="E38" s="38" t="s">
        <v>836</v>
      </c>
      <c r="F38" s="0" t="s">
        <v>904</v>
      </c>
    </row>
    <row r="39" customFormat="false" ht="15" hidden="false" customHeight="false" outlineLevel="0" collapsed="false">
      <c r="A39" s="0" t="s">
        <v>905</v>
      </c>
      <c r="B39" s="0" t="s">
        <v>684</v>
      </c>
      <c r="C39" s="0" t="s">
        <v>906</v>
      </c>
      <c r="D39" s="0" t="s">
        <v>813</v>
      </c>
      <c r="E39" s="37" t="s">
        <v>814</v>
      </c>
      <c r="F39" s="0" t="s">
        <v>907</v>
      </c>
    </row>
    <row r="40" customFormat="false" ht="15" hidden="false" customHeight="false" outlineLevel="0" collapsed="false">
      <c r="A40" s="0" t="s">
        <v>574</v>
      </c>
      <c r="B40" s="0" t="s">
        <v>21</v>
      </c>
      <c r="C40" s="0" t="s">
        <v>908</v>
      </c>
      <c r="D40" s="0" t="s">
        <v>813</v>
      </c>
      <c r="E40" s="37" t="s">
        <v>814</v>
      </c>
      <c r="F40" s="0" t="s">
        <v>909</v>
      </c>
    </row>
    <row r="41" customFormat="false" ht="15" hidden="false" customHeight="false" outlineLevel="0" collapsed="false">
      <c r="A41" s="0" t="s">
        <v>580</v>
      </c>
      <c r="B41" s="0" t="s">
        <v>21</v>
      </c>
      <c r="C41" s="0" t="s">
        <v>910</v>
      </c>
      <c r="D41" s="0" t="s">
        <v>836</v>
      </c>
      <c r="E41" s="38" t="s">
        <v>836</v>
      </c>
      <c r="F41" s="0" t="s">
        <v>911</v>
      </c>
    </row>
    <row r="42" customFormat="false" ht="15" hidden="false" customHeight="false" outlineLevel="0" collapsed="false">
      <c r="A42" s="0" t="s">
        <v>586</v>
      </c>
      <c r="B42" s="0" t="s">
        <v>21</v>
      </c>
      <c r="C42" s="0" t="s">
        <v>912</v>
      </c>
      <c r="D42" s="0" t="s">
        <v>813</v>
      </c>
      <c r="E42" s="37" t="s">
        <v>814</v>
      </c>
      <c r="F42" s="0" t="s">
        <v>913</v>
      </c>
    </row>
    <row r="43" customFormat="false" ht="15" hidden="false" customHeight="false" outlineLevel="0" collapsed="false">
      <c r="A43" s="0" t="s">
        <v>590</v>
      </c>
      <c r="B43" s="0" t="s">
        <v>21</v>
      </c>
      <c r="C43" s="0" t="s">
        <v>914</v>
      </c>
      <c r="D43" s="0" t="s">
        <v>836</v>
      </c>
      <c r="E43" s="38" t="s">
        <v>836</v>
      </c>
      <c r="F43" s="0" t="s">
        <v>915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26"/>
    <col collapsed="false" customWidth="true" hidden="false" outlineLevel="0" max="3" min="3" style="0" width="80"/>
    <col collapsed="false" customWidth="true" hidden="false" outlineLevel="0" max="4" min="4" style="0" width="16"/>
    <col collapsed="false" customWidth="true" hidden="false" outlineLevel="0" max="5" min="5" style="0" width="14"/>
  </cols>
  <sheetData>
    <row r="1" customFormat="false" ht="15" hidden="false" customHeight="false" outlineLevel="0" collapsed="false">
      <c r="A1" s="1" t="s">
        <v>916</v>
      </c>
    </row>
    <row r="4" customFormat="false" ht="15" hidden="false" customHeight="false" outlineLevel="0" collapsed="false">
      <c r="A4" s="2" t="s">
        <v>917</v>
      </c>
      <c r="B4" s="2" t="s">
        <v>918</v>
      </c>
      <c r="C4" s="2" t="s">
        <v>2</v>
      </c>
      <c r="D4" s="2" t="s">
        <v>28</v>
      </c>
      <c r="E4" s="2" t="s">
        <v>29</v>
      </c>
    </row>
    <row r="5" customFormat="false" ht="15" hidden="false" customHeight="false" outlineLevel="0" collapsed="false">
      <c r="A5" s="0" t="s">
        <v>919</v>
      </c>
      <c r="B5" s="0" t="s">
        <v>293</v>
      </c>
      <c r="C5" s="0" t="s">
        <v>920</v>
      </c>
      <c r="D5" s="0" t="s">
        <v>921</v>
      </c>
      <c r="E5" s="0" t="s">
        <v>922</v>
      </c>
    </row>
    <row r="6" customFormat="false" ht="15" hidden="false" customHeight="false" outlineLevel="0" collapsed="false">
      <c r="A6" s="0" t="s">
        <v>919</v>
      </c>
      <c r="B6" s="0" t="s">
        <v>294</v>
      </c>
      <c r="C6" s="0" t="s">
        <v>923</v>
      </c>
      <c r="D6" s="0" t="s">
        <v>921</v>
      </c>
      <c r="E6" s="0" t="s">
        <v>922</v>
      </c>
    </row>
    <row r="7" customFormat="false" ht="15" hidden="false" customHeight="false" outlineLevel="0" collapsed="false">
      <c r="A7" s="0" t="s">
        <v>919</v>
      </c>
      <c r="B7" s="0" t="s">
        <v>295</v>
      </c>
      <c r="C7" s="0" t="s">
        <v>924</v>
      </c>
      <c r="D7" s="0" t="s">
        <v>921</v>
      </c>
      <c r="E7" s="0" t="s">
        <v>922</v>
      </c>
    </row>
    <row r="8" customFormat="false" ht="15" hidden="false" customHeight="false" outlineLevel="0" collapsed="false">
      <c r="A8" s="0" t="s">
        <v>919</v>
      </c>
      <c r="B8" s="0" t="s">
        <v>296</v>
      </c>
      <c r="C8" s="0" t="s">
        <v>127</v>
      </c>
      <c r="D8" s="0" t="s">
        <v>921</v>
      </c>
      <c r="E8" s="0" t="s">
        <v>922</v>
      </c>
    </row>
    <row r="9" customFormat="false" ht="15" hidden="false" customHeight="false" outlineLevel="0" collapsed="false">
      <c r="A9" s="0" t="s">
        <v>919</v>
      </c>
      <c r="B9" s="0" t="s">
        <v>299</v>
      </c>
      <c r="C9" s="0" t="s">
        <v>925</v>
      </c>
      <c r="D9" s="0" t="s">
        <v>926</v>
      </c>
      <c r="E9" s="0" t="s">
        <v>47</v>
      </c>
    </row>
    <row r="10" customFormat="false" ht="15" hidden="false" customHeight="false" outlineLevel="0" collapsed="false">
      <c r="A10" s="0" t="s">
        <v>919</v>
      </c>
      <c r="B10" s="0" t="s">
        <v>300</v>
      </c>
      <c r="C10" s="0" t="s">
        <v>927</v>
      </c>
      <c r="D10" s="0" t="s">
        <v>926</v>
      </c>
      <c r="E10" s="0" t="s">
        <v>47</v>
      </c>
    </row>
    <row r="11" customFormat="false" ht="15" hidden="false" customHeight="false" outlineLevel="0" collapsed="false">
      <c r="A11" s="0" t="s">
        <v>919</v>
      </c>
      <c r="B11" s="0" t="s">
        <v>928</v>
      </c>
      <c r="C11" s="0" t="s">
        <v>929</v>
      </c>
      <c r="D11" s="0" t="s">
        <v>69</v>
      </c>
      <c r="E11" s="0" t="s">
        <v>47</v>
      </c>
    </row>
    <row r="12" customFormat="false" ht="15" hidden="false" customHeight="false" outlineLevel="0" collapsed="false">
      <c r="A12" s="0" t="s">
        <v>919</v>
      </c>
      <c r="B12" s="0" t="s">
        <v>930</v>
      </c>
      <c r="C12" s="0" t="s">
        <v>931</v>
      </c>
      <c r="D12" s="0" t="s">
        <v>76</v>
      </c>
      <c r="E12" s="0" t="s">
        <v>47</v>
      </c>
    </row>
    <row r="13" customFormat="false" ht="15" hidden="false" customHeight="false" outlineLevel="0" collapsed="false">
      <c r="A13" s="0" t="s">
        <v>919</v>
      </c>
      <c r="B13" s="0" t="s">
        <v>932</v>
      </c>
      <c r="C13" s="0" t="s">
        <v>933</v>
      </c>
      <c r="D13" s="0" t="s">
        <v>934</v>
      </c>
      <c r="E13" s="0" t="s">
        <v>47</v>
      </c>
    </row>
    <row r="14" customFormat="false" ht="15" hidden="false" customHeight="false" outlineLevel="0" collapsed="false">
      <c r="A14" s="0" t="s">
        <v>919</v>
      </c>
      <c r="B14" s="0" t="s">
        <v>935</v>
      </c>
      <c r="C14" s="0" t="s">
        <v>936</v>
      </c>
      <c r="D14" s="0" t="s">
        <v>61</v>
      </c>
      <c r="E14" s="0" t="s">
        <v>47</v>
      </c>
    </row>
    <row r="15" customFormat="false" ht="15" hidden="false" customHeight="false" outlineLevel="0" collapsed="false">
      <c r="A15" s="0" t="s">
        <v>919</v>
      </c>
      <c r="B15" s="0" t="s">
        <v>937</v>
      </c>
      <c r="C15" s="0" t="s">
        <v>938</v>
      </c>
      <c r="D15" s="0" t="s">
        <v>939</v>
      </c>
      <c r="E15" s="0" t="s">
        <v>120</v>
      </c>
    </row>
    <row r="16" customFormat="false" ht="15" hidden="false" customHeight="false" outlineLevel="0" collapsed="false">
      <c r="A16" s="0" t="s">
        <v>919</v>
      </c>
      <c r="B16" s="0" t="s">
        <v>723</v>
      </c>
      <c r="C16" s="0" t="s">
        <v>940</v>
      </c>
      <c r="D16" s="0" t="s">
        <v>61</v>
      </c>
      <c r="E16" s="0" t="s">
        <v>120</v>
      </c>
    </row>
    <row r="17" customFormat="false" ht="15" hidden="false" customHeight="false" outlineLevel="0" collapsed="false">
      <c r="A17" s="0" t="s">
        <v>919</v>
      </c>
      <c r="B17" s="0" t="s">
        <v>941</v>
      </c>
      <c r="C17" s="0" t="s">
        <v>942</v>
      </c>
      <c r="D17" s="0" t="s">
        <v>61</v>
      </c>
      <c r="E17" s="0" t="s">
        <v>120</v>
      </c>
    </row>
    <row r="18" customFormat="false" ht="15" hidden="false" customHeight="false" outlineLevel="0" collapsed="false">
      <c r="A18" s="0" t="s">
        <v>919</v>
      </c>
      <c r="B18" s="0" t="s">
        <v>943</v>
      </c>
      <c r="C18" s="0" t="s">
        <v>944</v>
      </c>
      <c r="D18" s="0" t="s">
        <v>61</v>
      </c>
      <c r="E18" s="0" t="s">
        <v>120</v>
      </c>
    </row>
    <row r="19" customFormat="false" ht="15" hidden="false" customHeight="false" outlineLevel="0" collapsed="false">
      <c r="A19" s="0" t="s">
        <v>919</v>
      </c>
      <c r="B19" s="0" t="s">
        <v>945</v>
      </c>
      <c r="C19" s="0" t="s">
        <v>946</v>
      </c>
      <c r="D19" s="0" t="s">
        <v>61</v>
      </c>
      <c r="E19" s="0" t="s">
        <v>120</v>
      </c>
    </row>
    <row r="20" customFormat="false" ht="15" hidden="false" customHeight="false" outlineLevel="0" collapsed="false">
      <c r="A20" s="0" t="s">
        <v>919</v>
      </c>
      <c r="B20" s="0" t="s">
        <v>947</v>
      </c>
      <c r="C20" s="0" t="s">
        <v>948</v>
      </c>
      <c r="D20" s="0" t="s">
        <v>61</v>
      </c>
      <c r="E20" s="0" t="s">
        <v>120</v>
      </c>
    </row>
    <row r="21" customFormat="false" ht="15" hidden="false" customHeight="false" outlineLevel="0" collapsed="false">
      <c r="A21" s="0" t="s">
        <v>919</v>
      </c>
      <c r="B21" s="0" t="s">
        <v>949</v>
      </c>
      <c r="C21" s="0" t="s">
        <v>950</v>
      </c>
      <c r="D21" s="0" t="s">
        <v>61</v>
      </c>
      <c r="E21" s="0" t="s">
        <v>120</v>
      </c>
    </row>
    <row r="22" customFormat="false" ht="15" hidden="false" customHeight="false" outlineLevel="0" collapsed="false">
      <c r="A22" s="0" t="s">
        <v>919</v>
      </c>
      <c r="B22" s="0" t="s">
        <v>951</v>
      </c>
      <c r="C22" s="0" t="s">
        <v>952</v>
      </c>
      <c r="D22" s="0" t="s">
        <v>953</v>
      </c>
      <c r="E22" s="0" t="s">
        <v>120</v>
      </c>
    </row>
    <row r="23" customFormat="false" ht="15" hidden="false" customHeight="false" outlineLevel="0" collapsed="false">
      <c r="A23" s="0" t="s">
        <v>919</v>
      </c>
      <c r="B23" s="0" t="s">
        <v>954</v>
      </c>
      <c r="C23" s="0" t="s">
        <v>955</v>
      </c>
      <c r="D23" s="0" t="s">
        <v>921</v>
      </c>
      <c r="E23" s="0" t="s">
        <v>34</v>
      </c>
    </row>
    <row r="24" customFormat="false" ht="15" hidden="false" customHeight="false" outlineLevel="0" collapsed="false">
      <c r="A24" s="0" t="s">
        <v>956</v>
      </c>
      <c r="B24" s="0" t="s">
        <v>293</v>
      </c>
      <c r="C24" s="0" t="s">
        <v>957</v>
      </c>
      <c r="D24" s="0" t="s">
        <v>921</v>
      </c>
      <c r="E24" s="0" t="s">
        <v>922</v>
      </c>
    </row>
    <row r="25" customFormat="false" ht="15" hidden="false" customHeight="false" outlineLevel="0" collapsed="false">
      <c r="A25" s="0" t="s">
        <v>956</v>
      </c>
      <c r="B25" s="0" t="s">
        <v>294</v>
      </c>
      <c r="C25" s="0" t="s">
        <v>958</v>
      </c>
      <c r="D25" s="0" t="s">
        <v>921</v>
      </c>
      <c r="E25" s="0" t="s">
        <v>922</v>
      </c>
    </row>
    <row r="26" customFormat="false" ht="15" hidden="false" customHeight="false" outlineLevel="0" collapsed="false">
      <c r="A26" s="0" t="s">
        <v>956</v>
      </c>
      <c r="B26" s="0" t="s">
        <v>295</v>
      </c>
      <c r="C26" s="0" t="s">
        <v>959</v>
      </c>
      <c r="D26" s="0" t="s">
        <v>921</v>
      </c>
      <c r="E26" s="0" t="s">
        <v>922</v>
      </c>
    </row>
    <row r="27" customFormat="false" ht="15" hidden="false" customHeight="false" outlineLevel="0" collapsed="false">
      <c r="A27" s="0" t="s">
        <v>956</v>
      </c>
      <c r="B27" s="0" t="s">
        <v>296</v>
      </c>
      <c r="C27" s="0" t="s">
        <v>127</v>
      </c>
      <c r="D27" s="0" t="s">
        <v>921</v>
      </c>
      <c r="E27" s="0" t="s">
        <v>922</v>
      </c>
    </row>
    <row r="28" customFormat="false" ht="15" hidden="false" customHeight="false" outlineLevel="0" collapsed="false">
      <c r="A28" s="0" t="s">
        <v>956</v>
      </c>
      <c r="B28" s="0" t="s">
        <v>298</v>
      </c>
      <c r="C28" s="0" t="s">
        <v>960</v>
      </c>
      <c r="D28" s="0" t="s">
        <v>921</v>
      </c>
      <c r="E28" s="0" t="s">
        <v>34</v>
      </c>
    </row>
    <row r="29" customFormat="false" ht="15" hidden="false" customHeight="false" outlineLevel="0" collapsed="false">
      <c r="A29" s="0" t="s">
        <v>956</v>
      </c>
      <c r="B29" s="0" t="s">
        <v>928</v>
      </c>
      <c r="C29" s="0" t="s">
        <v>929</v>
      </c>
      <c r="D29" s="0" t="s">
        <v>69</v>
      </c>
      <c r="E29" s="0" t="s">
        <v>47</v>
      </c>
    </row>
    <row r="30" customFormat="false" ht="15" hidden="false" customHeight="false" outlineLevel="0" collapsed="false">
      <c r="A30" s="0" t="s">
        <v>956</v>
      </c>
      <c r="B30" s="0" t="s">
        <v>930</v>
      </c>
      <c r="C30" s="0" t="s">
        <v>961</v>
      </c>
      <c r="D30" s="0" t="s">
        <v>76</v>
      </c>
      <c r="E30" s="0" t="s">
        <v>47</v>
      </c>
    </row>
    <row r="31" customFormat="false" ht="15" hidden="false" customHeight="false" outlineLevel="0" collapsed="false">
      <c r="A31" s="0" t="s">
        <v>956</v>
      </c>
      <c r="B31" s="0" t="s">
        <v>935</v>
      </c>
      <c r="C31" s="0" t="s">
        <v>936</v>
      </c>
      <c r="D31" s="0" t="s">
        <v>61</v>
      </c>
      <c r="E31" s="0" t="s">
        <v>47</v>
      </c>
    </row>
    <row r="32" customFormat="false" ht="15" hidden="false" customHeight="false" outlineLevel="0" collapsed="false">
      <c r="A32" s="0" t="s">
        <v>956</v>
      </c>
      <c r="B32" s="0" t="s">
        <v>951</v>
      </c>
      <c r="C32" s="0" t="s">
        <v>962</v>
      </c>
      <c r="D32" s="0" t="s">
        <v>953</v>
      </c>
      <c r="E32" s="0" t="s">
        <v>120</v>
      </c>
    </row>
    <row r="33" customFormat="false" ht="15" hidden="false" customHeight="false" outlineLevel="0" collapsed="false">
      <c r="A33" s="0" t="s">
        <v>956</v>
      </c>
      <c r="B33" s="0" t="s">
        <v>963</v>
      </c>
      <c r="C33" s="0" t="s">
        <v>964</v>
      </c>
      <c r="D33" s="0" t="s">
        <v>921</v>
      </c>
      <c r="E33" s="0" t="s">
        <v>120</v>
      </c>
    </row>
    <row r="34" customFormat="false" ht="15" hidden="false" customHeight="false" outlineLevel="0" collapsed="false">
      <c r="A34" s="0" t="s">
        <v>956</v>
      </c>
      <c r="B34" s="0" t="s">
        <v>965</v>
      </c>
      <c r="C34" s="0" t="s">
        <v>966</v>
      </c>
      <c r="D34" s="0" t="s">
        <v>61</v>
      </c>
      <c r="E34" s="0" t="s">
        <v>47</v>
      </c>
    </row>
    <row r="35" customFormat="false" ht="15" hidden="false" customHeight="false" outlineLevel="0" collapsed="false">
      <c r="A35" s="0" t="s">
        <v>956</v>
      </c>
      <c r="B35" s="0" t="s">
        <v>967</v>
      </c>
      <c r="C35" s="0" t="s">
        <v>968</v>
      </c>
      <c r="D35" s="0" t="s">
        <v>921</v>
      </c>
      <c r="E35" s="0" t="s">
        <v>34</v>
      </c>
    </row>
    <row r="36" customFormat="false" ht="15" hidden="false" customHeight="false" outlineLevel="0" collapsed="false">
      <c r="A36" s="0" t="s">
        <v>956</v>
      </c>
      <c r="B36" s="0" t="s">
        <v>969</v>
      </c>
      <c r="C36" s="0" t="s">
        <v>970</v>
      </c>
      <c r="D36" s="0" t="s">
        <v>971</v>
      </c>
      <c r="E36" s="0" t="s">
        <v>120</v>
      </c>
    </row>
    <row r="37" customFormat="false" ht="15" hidden="false" customHeight="false" outlineLevel="0" collapsed="false">
      <c r="A37" s="0" t="s">
        <v>956</v>
      </c>
      <c r="B37" s="0" t="s">
        <v>972</v>
      </c>
      <c r="C37" s="0" t="s">
        <v>973</v>
      </c>
      <c r="D37" s="0" t="s">
        <v>974</v>
      </c>
      <c r="E37" s="0" t="s">
        <v>120</v>
      </c>
    </row>
    <row r="38" customFormat="false" ht="15" hidden="false" customHeight="false" outlineLevel="0" collapsed="false">
      <c r="A38" s="0" t="s">
        <v>956</v>
      </c>
      <c r="B38" s="0" t="s">
        <v>975</v>
      </c>
      <c r="C38" s="0" t="s">
        <v>976</v>
      </c>
      <c r="D38" s="0" t="s">
        <v>42</v>
      </c>
      <c r="E38" s="0" t="s">
        <v>34</v>
      </c>
    </row>
    <row r="39" customFormat="false" ht="15" hidden="false" customHeight="false" outlineLevel="0" collapsed="false">
      <c r="A39" s="0" t="s">
        <v>956</v>
      </c>
      <c r="B39" s="0" t="s">
        <v>977</v>
      </c>
      <c r="C39" s="0" t="s">
        <v>978</v>
      </c>
      <c r="D39" s="0" t="s">
        <v>921</v>
      </c>
      <c r="E39" s="0" t="s">
        <v>120</v>
      </c>
    </row>
    <row r="40" customFormat="false" ht="15" hidden="false" customHeight="false" outlineLevel="0" collapsed="false">
      <c r="A40" s="0" t="s">
        <v>956</v>
      </c>
      <c r="B40" s="0" t="s">
        <v>299</v>
      </c>
      <c r="C40" s="0" t="s">
        <v>979</v>
      </c>
      <c r="D40" s="0" t="s">
        <v>926</v>
      </c>
      <c r="E40" s="0" t="s">
        <v>47</v>
      </c>
    </row>
    <row r="41" customFormat="false" ht="15" hidden="false" customHeight="false" outlineLevel="0" collapsed="false">
      <c r="A41" s="0" t="s">
        <v>956</v>
      </c>
      <c r="B41" s="0" t="s">
        <v>300</v>
      </c>
      <c r="C41" s="0" t="s">
        <v>980</v>
      </c>
      <c r="D41" s="0" t="s">
        <v>926</v>
      </c>
      <c r="E41" s="0" t="s">
        <v>47</v>
      </c>
    </row>
    <row r="42" customFormat="false" ht="15" hidden="false" customHeight="false" outlineLevel="0" collapsed="false">
      <c r="A42" s="0" t="s">
        <v>981</v>
      </c>
      <c r="B42" s="0" t="s">
        <v>337</v>
      </c>
      <c r="C42" s="0" t="s">
        <v>982</v>
      </c>
      <c r="D42" s="0" t="s">
        <v>921</v>
      </c>
      <c r="E42" s="0" t="s">
        <v>922</v>
      </c>
    </row>
    <row r="43" customFormat="false" ht="15" hidden="false" customHeight="false" outlineLevel="0" collapsed="false">
      <c r="A43" s="0" t="s">
        <v>981</v>
      </c>
      <c r="B43" s="0" t="s">
        <v>385</v>
      </c>
      <c r="C43" s="0" t="s">
        <v>983</v>
      </c>
      <c r="D43" s="0" t="s">
        <v>921</v>
      </c>
      <c r="E43" s="0" t="s">
        <v>922</v>
      </c>
    </row>
    <row r="44" customFormat="false" ht="15" hidden="false" customHeight="false" outlineLevel="0" collapsed="false">
      <c r="A44" s="0" t="s">
        <v>981</v>
      </c>
      <c r="B44" s="0" t="s">
        <v>87</v>
      </c>
      <c r="C44" s="0" t="s">
        <v>984</v>
      </c>
      <c r="D44" s="0" t="s">
        <v>87</v>
      </c>
      <c r="E44" s="0" t="s">
        <v>47</v>
      </c>
    </row>
    <row r="45" customFormat="false" ht="15" hidden="false" customHeight="false" outlineLevel="0" collapsed="false">
      <c r="A45" s="0" t="s">
        <v>981</v>
      </c>
      <c r="B45" s="0" t="s">
        <v>389</v>
      </c>
      <c r="C45" s="0" t="s">
        <v>985</v>
      </c>
      <c r="D45" s="0" t="s">
        <v>87</v>
      </c>
      <c r="E45" s="0" t="s">
        <v>47</v>
      </c>
    </row>
    <row r="46" customFormat="false" ht="15" hidden="false" customHeight="false" outlineLevel="0" collapsed="false">
      <c r="A46" s="0" t="s">
        <v>981</v>
      </c>
      <c r="B46" s="0" t="s">
        <v>986</v>
      </c>
      <c r="C46" s="0" t="s">
        <v>987</v>
      </c>
      <c r="D46" s="0" t="s">
        <v>921</v>
      </c>
      <c r="E46" s="0" t="s">
        <v>922</v>
      </c>
    </row>
    <row r="47" customFormat="false" ht="15" hidden="false" customHeight="false" outlineLevel="0" collapsed="false">
      <c r="A47" s="0" t="s">
        <v>981</v>
      </c>
      <c r="B47" s="0" t="s">
        <v>386</v>
      </c>
      <c r="C47" s="0" t="s">
        <v>988</v>
      </c>
      <c r="D47" s="0" t="s">
        <v>921</v>
      </c>
      <c r="E47" s="0" t="s">
        <v>922</v>
      </c>
    </row>
    <row r="48" customFormat="false" ht="15" hidden="false" customHeight="false" outlineLevel="0" collapsed="false">
      <c r="A48" s="0" t="s">
        <v>981</v>
      </c>
      <c r="B48" s="0" t="s">
        <v>387</v>
      </c>
      <c r="C48" s="0" t="s">
        <v>959</v>
      </c>
      <c r="D48" s="0" t="s">
        <v>921</v>
      </c>
      <c r="E48" s="0" t="s">
        <v>922</v>
      </c>
    </row>
    <row r="49" customFormat="false" ht="15" hidden="false" customHeight="false" outlineLevel="0" collapsed="false">
      <c r="A49" s="0" t="s">
        <v>981</v>
      </c>
      <c r="B49" s="0" t="s">
        <v>391</v>
      </c>
      <c r="C49" s="0" t="s">
        <v>989</v>
      </c>
      <c r="D49" s="0" t="s">
        <v>87</v>
      </c>
      <c r="E49" s="0" t="s">
        <v>120</v>
      </c>
    </row>
    <row r="50" customFormat="false" ht="15" hidden="false" customHeight="false" outlineLevel="0" collapsed="false">
      <c r="A50" s="0" t="s">
        <v>981</v>
      </c>
      <c r="B50" s="0" t="s">
        <v>990</v>
      </c>
      <c r="C50" s="0" t="s">
        <v>991</v>
      </c>
      <c r="D50" s="0" t="s">
        <v>921</v>
      </c>
      <c r="E50" s="0" t="s">
        <v>120</v>
      </c>
    </row>
    <row r="51" customFormat="false" ht="15" hidden="false" customHeight="false" outlineLevel="0" collapsed="false">
      <c r="A51" s="0" t="s">
        <v>981</v>
      </c>
      <c r="B51" s="0" t="s">
        <v>992</v>
      </c>
      <c r="C51" s="0" t="s">
        <v>993</v>
      </c>
      <c r="D51" s="0" t="s">
        <v>994</v>
      </c>
      <c r="E51" s="0" t="s">
        <v>120</v>
      </c>
    </row>
    <row r="52" customFormat="false" ht="15" hidden="false" customHeight="false" outlineLevel="0" collapsed="false">
      <c r="A52" s="0" t="s">
        <v>981</v>
      </c>
      <c r="B52" s="0" t="s">
        <v>995</v>
      </c>
      <c r="C52" s="0" t="s">
        <v>996</v>
      </c>
      <c r="D52" s="0" t="s">
        <v>42</v>
      </c>
      <c r="E52" s="0" t="s">
        <v>120</v>
      </c>
    </row>
    <row r="53" customFormat="false" ht="15" hidden="false" customHeight="false" outlineLevel="0" collapsed="false">
      <c r="A53" s="0" t="s">
        <v>981</v>
      </c>
      <c r="B53" s="0" t="s">
        <v>726</v>
      </c>
      <c r="C53" s="0" t="s">
        <v>997</v>
      </c>
      <c r="D53" s="0" t="s">
        <v>921</v>
      </c>
      <c r="E53" s="0" t="s">
        <v>922</v>
      </c>
    </row>
    <row r="54" customFormat="false" ht="15" hidden="false" customHeight="false" outlineLevel="0" collapsed="false">
      <c r="A54" s="0" t="s">
        <v>998</v>
      </c>
      <c r="B54" s="0" t="s">
        <v>295</v>
      </c>
      <c r="C54" s="0" t="s">
        <v>126</v>
      </c>
      <c r="D54" s="0" t="s">
        <v>921</v>
      </c>
      <c r="E54" s="0" t="s">
        <v>922</v>
      </c>
    </row>
    <row r="55" customFormat="false" ht="15" hidden="false" customHeight="false" outlineLevel="0" collapsed="false">
      <c r="A55" s="0" t="s">
        <v>998</v>
      </c>
      <c r="B55" s="0" t="s">
        <v>296</v>
      </c>
      <c r="C55" s="0" t="s">
        <v>127</v>
      </c>
      <c r="D55" s="0" t="s">
        <v>921</v>
      </c>
      <c r="E55" s="0" t="s">
        <v>922</v>
      </c>
    </row>
    <row r="56" customFormat="false" ht="15" hidden="false" customHeight="false" outlineLevel="0" collapsed="false">
      <c r="A56" s="0" t="s">
        <v>998</v>
      </c>
      <c r="B56" s="0" t="s">
        <v>719</v>
      </c>
      <c r="C56" s="0" t="s">
        <v>999</v>
      </c>
      <c r="D56" s="0" t="s">
        <v>61</v>
      </c>
      <c r="E56" s="0" t="s">
        <v>47</v>
      </c>
    </row>
    <row r="57" customFormat="false" ht="15" hidden="false" customHeight="false" outlineLevel="0" collapsed="false">
      <c r="A57" s="0" t="s">
        <v>998</v>
      </c>
      <c r="B57" s="0" t="s">
        <v>720</v>
      </c>
      <c r="C57" s="0" t="s">
        <v>1000</v>
      </c>
      <c r="D57" s="0" t="s">
        <v>1001</v>
      </c>
      <c r="E57" s="0" t="s">
        <v>47</v>
      </c>
    </row>
    <row r="58" customFormat="false" ht="15" hidden="false" customHeight="false" outlineLevel="0" collapsed="false">
      <c r="A58" s="0" t="s">
        <v>998</v>
      </c>
      <c r="B58" s="0" t="s">
        <v>721</v>
      </c>
      <c r="C58" s="0" t="s">
        <v>1002</v>
      </c>
      <c r="D58" s="0" t="s">
        <v>1003</v>
      </c>
      <c r="E58" s="0" t="s">
        <v>120</v>
      </c>
    </row>
    <row r="59" customFormat="false" ht="15" hidden="false" customHeight="false" outlineLevel="0" collapsed="false">
      <c r="A59" s="0" t="s">
        <v>998</v>
      </c>
      <c r="B59" s="0" t="s">
        <v>722</v>
      </c>
      <c r="C59" s="0" t="s">
        <v>1004</v>
      </c>
      <c r="D59" s="0" t="s">
        <v>921</v>
      </c>
      <c r="E59" s="0" t="s">
        <v>47</v>
      </c>
    </row>
    <row r="60" customFormat="false" ht="15" hidden="false" customHeight="false" outlineLevel="0" collapsed="false">
      <c r="A60" s="0" t="s">
        <v>998</v>
      </c>
      <c r="B60" s="0" t="s">
        <v>723</v>
      </c>
      <c r="C60" s="0" t="s">
        <v>1005</v>
      </c>
      <c r="D60" s="0" t="s">
        <v>61</v>
      </c>
      <c r="E60" s="0" t="s">
        <v>120</v>
      </c>
    </row>
    <row r="61" customFormat="false" ht="15" hidden="false" customHeight="false" outlineLevel="0" collapsed="false">
      <c r="A61" s="0" t="s">
        <v>998</v>
      </c>
      <c r="B61" s="0" t="s">
        <v>1006</v>
      </c>
      <c r="C61" s="0" t="s">
        <v>1007</v>
      </c>
      <c r="D61" s="0" t="s">
        <v>80</v>
      </c>
      <c r="E61" s="0" t="s">
        <v>120</v>
      </c>
    </row>
    <row r="62" customFormat="false" ht="15" hidden="false" customHeight="false" outlineLevel="0" collapsed="false">
      <c r="A62" s="0" t="s">
        <v>998</v>
      </c>
      <c r="B62" s="0" t="s">
        <v>724</v>
      </c>
      <c r="C62" s="0" t="s">
        <v>1008</v>
      </c>
      <c r="D62" s="0" t="s">
        <v>1009</v>
      </c>
      <c r="E62" s="0" t="s">
        <v>120</v>
      </c>
    </row>
    <row r="63" customFormat="false" ht="15" hidden="false" customHeight="false" outlineLevel="0" collapsed="false">
      <c r="A63" s="0" t="s">
        <v>998</v>
      </c>
      <c r="B63" s="0" t="s">
        <v>725</v>
      </c>
      <c r="C63" s="0" t="s">
        <v>1010</v>
      </c>
      <c r="D63" s="0" t="s">
        <v>921</v>
      </c>
      <c r="E63" s="0" t="s">
        <v>922</v>
      </c>
    </row>
    <row r="64" customFormat="false" ht="15" hidden="false" customHeight="false" outlineLevel="0" collapsed="false">
      <c r="A64" s="0" t="s">
        <v>998</v>
      </c>
      <c r="B64" s="0" t="s">
        <v>726</v>
      </c>
      <c r="C64" s="0" t="s">
        <v>1011</v>
      </c>
      <c r="D64" s="0" t="s">
        <v>921</v>
      </c>
      <c r="E64" s="0" t="s">
        <v>922</v>
      </c>
    </row>
    <row r="65" customFormat="false" ht="15" hidden="false" customHeight="false" outlineLevel="0" collapsed="false">
      <c r="A65" s="0" t="s">
        <v>998</v>
      </c>
      <c r="B65" s="0" t="s">
        <v>727</v>
      </c>
      <c r="C65" s="0" t="s">
        <v>1012</v>
      </c>
      <c r="D65" s="0" t="s">
        <v>921</v>
      </c>
      <c r="E65" s="0" t="s">
        <v>922</v>
      </c>
    </row>
    <row r="66" customFormat="false" ht="15" hidden="false" customHeight="false" outlineLevel="0" collapsed="false">
      <c r="A66" s="0" t="s">
        <v>998</v>
      </c>
      <c r="B66" s="0" t="s">
        <v>728</v>
      </c>
      <c r="C66" s="0" t="s">
        <v>1013</v>
      </c>
      <c r="D66" s="0" t="s">
        <v>921</v>
      </c>
      <c r="E66" s="0" t="s">
        <v>922</v>
      </c>
    </row>
    <row r="67" customFormat="false" ht="15" hidden="false" customHeight="false" outlineLevel="0" collapsed="false">
      <c r="A67" s="0" t="s">
        <v>998</v>
      </c>
      <c r="B67" s="0" t="s">
        <v>729</v>
      </c>
      <c r="C67" s="0" t="s">
        <v>1014</v>
      </c>
      <c r="D67" s="0" t="s">
        <v>921</v>
      </c>
      <c r="E67" s="0" t="s">
        <v>922</v>
      </c>
    </row>
    <row r="68" customFormat="false" ht="15" hidden="false" customHeight="false" outlineLevel="0" collapsed="false">
      <c r="A68" s="0" t="s">
        <v>1015</v>
      </c>
      <c r="B68" s="0" t="s">
        <v>293</v>
      </c>
      <c r="C68" s="0" t="s">
        <v>1016</v>
      </c>
      <c r="D68" s="0" t="s">
        <v>921</v>
      </c>
      <c r="E68" s="0" t="s">
        <v>922</v>
      </c>
    </row>
    <row r="69" customFormat="false" ht="15" hidden="false" customHeight="false" outlineLevel="0" collapsed="false">
      <c r="A69" s="0" t="s">
        <v>1015</v>
      </c>
      <c r="B69" s="0" t="s">
        <v>805</v>
      </c>
      <c r="C69" s="0" t="s">
        <v>1017</v>
      </c>
      <c r="D69" s="0" t="s">
        <v>921</v>
      </c>
      <c r="E69" s="0" t="s">
        <v>922</v>
      </c>
    </row>
    <row r="70" customFormat="false" ht="15" hidden="false" customHeight="false" outlineLevel="0" collapsed="false">
      <c r="A70" s="0" t="s">
        <v>1015</v>
      </c>
      <c r="B70" s="0" t="s">
        <v>806</v>
      </c>
      <c r="C70" s="0" t="s">
        <v>1018</v>
      </c>
      <c r="D70" s="0" t="s">
        <v>921</v>
      </c>
      <c r="E70" s="0" t="s">
        <v>922</v>
      </c>
    </row>
    <row r="71" customFormat="false" ht="15" hidden="false" customHeight="false" outlineLevel="0" collapsed="false">
      <c r="A71" s="0" t="s">
        <v>1015</v>
      </c>
      <c r="B71" s="0" t="s">
        <v>807</v>
      </c>
      <c r="C71" s="0" t="s">
        <v>1019</v>
      </c>
      <c r="D71" s="0" t="s">
        <v>921</v>
      </c>
      <c r="E71" s="0" t="s">
        <v>34</v>
      </c>
    </row>
    <row r="72" customFormat="false" ht="15" hidden="false" customHeight="false" outlineLevel="0" collapsed="false">
      <c r="A72" s="0" t="s">
        <v>1015</v>
      </c>
      <c r="B72" s="0" t="s">
        <v>808</v>
      </c>
      <c r="C72" s="0" t="s">
        <v>1020</v>
      </c>
      <c r="D72" s="0" t="s">
        <v>921</v>
      </c>
      <c r="E72" s="0" t="s">
        <v>120</v>
      </c>
    </row>
    <row r="73" customFormat="false" ht="15" hidden="false" customHeight="false" outlineLevel="0" collapsed="false">
      <c r="A73" s="0" t="s">
        <v>1015</v>
      </c>
      <c r="B73" s="0" t="s">
        <v>809</v>
      </c>
      <c r="C73" s="0" t="s">
        <v>1021</v>
      </c>
      <c r="D73" s="0" t="s">
        <v>921</v>
      </c>
      <c r="E73" s="0" t="s">
        <v>120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2026-09-30T20:03:25Z</dcterms:created>
  <dc:creator>openpyxl</dc:creator>
  <dc:description/>
  <dc:language>en-US</dc:language>
  <cp:lastModifiedBy/>
  <dcterms:modified xsi:type="dcterms:W3CDTF">2026-10-07T16:15:51Z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