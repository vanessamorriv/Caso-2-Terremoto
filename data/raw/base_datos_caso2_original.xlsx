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Candidatos" sheetId="2" state="visible" r:id="rId4"/>
    <sheet name="Presupuesto" sheetId="3" state="visible" r:id="rId5"/>
    <sheet name="Deman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<sst xmlns="http://schemas.openxmlformats.org/spreadsheetml/2006/main" count="431" uniqueCount="260">
  <si>
    <t xml:space="preserve">Parámetros y registro de supuestos – Caso 2: Terremoto en Colombia (10-ago-2026)</t>
  </si>
  <si>
    <t xml:space="preserve">Leyenda: texto azul = valor de entrada editable · fondo amarillo = supuesto provisional clave (sensibilidad pendiente) · Tipo: Real (dato de fuente o del enunciado), Calculado, Supuesto.</t>
  </si>
  <si>
    <t xml:space="preserve">ID</t>
  </si>
  <si>
    <t xml:space="preserve">Parámetro</t>
  </si>
  <si>
    <t xml:space="preserve">Valor</t>
  </si>
  <si>
    <t xml:space="preserve">Unidad</t>
  </si>
  <si>
    <t xml:space="preserve">Tipo</t>
  </si>
  <si>
    <t xml:space="preserve">Fuente / justificación</t>
  </si>
  <si>
    <t xml:space="preserve">P01</t>
  </si>
  <si>
    <t xml:space="preserve">Costo fijo por plaza-mes (c_f)</t>
  </si>
  <si>
    <t xml:space="preserve">COP/plaza-mes</t>
  </si>
  <si>
    <t xml:space="preserve">Supuesto</t>
  </si>
  <si>
    <t xml:space="preserve">PROVISIONAL. Supuesto propio: ≈40–55% del apoyo UNGRD por persona (Cronista 02-sep-2026: $787.907–1.050.543 por hogar-mes). Sin fuente colombiana de costo de operación de campamentos.</t>
  </si>
  <si>
    <t xml:space="preserve">P02</t>
  </si>
  <si>
    <t xml:space="preserve">Duración de referencia (T)</t>
  </si>
  <si>
    <t xml:space="preserve">meses</t>
  </si>
  <si>
    <t xml:space="preserve">Igual al periodo de 3 pagos del apoyo económico UNGRD (Cronista 02-sep-2026).</t>
  </si>
  <si>
    <t xml:space="preserve">P03</t>
  </si>
  <si>
    <t xml:space="preserve">Costo variable por persona (v)</t>
  </si>
  <si>
    <t xml:space="preserve">COP/persona</t>
  </si>
  <si>
    <t xml:space="preserve">Kit de alimentación ($29.730) + kit de aseo ($29.730), gama alta, precios minoristas D1 (El Tiempo, 14-ago-2026). No es precio institucional.</t>
  </si>
  <si>
    <t xml:space="preserve">P04</t>
  </si>
  <si>
    <t xml:space="preserve">Costo de transporte</t>
  </si>
  <si>
    <t xml:space="preserve">COP/km·persona</t>
  </si>
  <si>
    <t xml:space="preserve">Real</t>
  </si>
  <si>
    <t xml:space="preserve">Enunciado del caso (costo lineal).</t>
  </si>
  <si>
    <t xml:space="preserve">P05</t>
  </si>
  <si>
    <t xml:space="preserve">Factor de escala – Grande</t>
  </si>
  <si>
    <t xml:space="preserve">adimensional</t>
  </si>
  <si>
    <t xml:space="preserve">Economías de escala en campamentos grandes.</t>
  </si>
  <si>
    <t xml:space="preserve">P06</t>
  </si>
  <si>
    <t xml:space="preserve">Factor de escala – Intermedia</t>
  </si>
  <si>
    <t xml:space="preserve">Categoría de referencia.</t>
  </si>
  <si>
    <t xml:space="preserve">P07</t>
  </si>
  <si>
    <t xml:space="preserve">Factor de escala – Pequeña</t>
  </si>
  <si>
    <t xml:space="preserve">Deseconomías de escala en campamentos pequeños.</t>
  </si>
  <si>
    <t xml:space="preserve">P08</t>
  </si>
  <si>
    <t xml:space="preserve">Capacidad – Grande</t>
  </si>
  <si>
    <t xml:space="preserve">personas</t>
  </si>
  <si>
    <t xml:space="preserve">Enunciado del caso.</t>
  </si>
  <si>
    <t xml:space="preserve">P09</t>
  </si>
  <si>
    <t xml:space="preserve">Capacidad – Intermedia</t>
  </si>
  <si>
    <t xml:space="preserve">P10</t>
  </si>
  <si>
    <t xml:space="preserve">Capacidad – Pequeña</t>
  </si>
  <si>
    <t xml:space="preserve">P11</t>
  </si>
  <si>
    <t xml:space="preserve">Corte población Grande (≥)</t>
  </si>
  <si>
    <t xml:space="preserve">habitantes</t>
  </si>
  <si>
    <t xml:space="preserve">Corte propio (decisión 6).</t>
  </si>
  <si>
    <t xml:space="preserve">P12</t>
  </si>
  <si>
    <t xml:space="preserve">Corte población Intermedia (≥)</t>
  </si>
  <si>
    <t xml:space="preserve">Sigue el umbral de 100.000 del Sistema de Ciudades del DNP (verificado solo en fuente secundaria).</t>
  </si>
  <si>
    <t xml:space="preserve">P13</t>
  </si>
  <si>
    <t xml:space="preserve">Umbral NH para candidato (&lt;)</t>
  </si>
  <si>
    <t xml:space="preserve">viviendas</t>
  </si>
  <si>
    <t xml:space="preserve">S2: separa candidatos de demanda con zona gris 250–399.</t>
  </si>
  <si>
    <t xml:space="preserve">P14</t>
  </si>
  <si>
    <t xml:space="preserve">Umbral % población registrada para candidato (&lt;)</t>
  </si>
  <si>
    <t xml:space="preserve">fracción</t>
  </si>
  <si>
    <t xml:space="preserve">S7: evita candidatos muy afectados en proporción (El Águila, El Dovio, Alcalá, Ulloa).</t>
  </si>
  <si>
    <t xml:space="preserve">P15</t>
  </si>
  <si>
    <t xml:space="preserve">Umbral NH para demanda (≥)</t>
  </si>
  <si>
    <t xml:space="preserve">S1: da 29 municipios.</t>
  </si>
  <si>
    <t xml:space="preserve">P16</t>
  </si>
  <si>
    <t xml:space="preserve">Distancia máxima de traslado</t>
  </si>
  <si>
    <t xml:space="preserve">km</t>
  </si>
  <si>
    <t xml:space="preserve">P17</t>
  </si>
  <si>
    <t xml:space="preserve">Presupuesto como % de Σ costo fijo de los 10 mayores</t>
  </si>
  <si>
    <t xml:space="preserve">P18</t>
  </si>
  <si>
    <t xml:space="preserve">Reducción de presupuesto – escenario A</t>
  </si>
  <si>
    <t xml:space="preserve">Enunciado pide entre 15% y 30%; se elige el extremo inferior.</t>
  </si>
  <si>
    <t xml:space="preserve">P19</t>
  </si>
  <si>
    <t xml:space="preserve">Reducción de presupuesto – escenario B</t>
  </si>
  <si>
    <t xml:space="preserve">Enunciado pide entre 15% y 30%; se elige el extremo superior.</t>
  </si>
  <si>
    <t xml:space="preserve">P20</t>
  </si>
  <si>
    <t xml:space="preserve">Fracción a campamento f – BASE</t>
  </si>
  <si>
    <t xml:space="preserve">S5: escenario de planeación (ABAG/Hazus: 11,6%, rango 8,3–13,2%). No es tasa observada en Colombia.</t>
  </si>
  <si>
    <t xml:space="preserve">P21</t>
  </si>
  <si>
    <t xml:space="preserve">Fracción f – sensibilidad baja</t>
  </si>
  <si>
    <t xml:space="preserve">Cercana a lo observado (Pereira 2,3%, Manizales 2,7%).</t>
  </si>
  <si>
    <t xml:space="preserve">P22</t>
  </si>
  <si>
    <t xml:space="preserve">Fracción f – sensibilidad media</t>
  </si>
  <si>
    <t xml:space="preserve">Techo aprox. de lo observado (Dosquebradas 4,4%).</t>
  </si>
  <si>
    <t xml:space="preserve">P23</t>
  </si>
  <si>
    <t xml:space="preserve">Fracción f – sensibilidad alta</t>
  </si>
  <si>
    <t xml:space="preserve">Extremo alto del rango ABAG.</t>
  </si>
  <si>
    <t xml:space="preserve">P24</t>
  </si>
  <si>
    <t xml:space="preserve">Tamaño de hogar alternativo</t>
  </si>
  <si>
    <t xml:space="preserve">personas/hogar</t>
  </si>
  <si>
    <t xml:space="preserve">Sensibilidad; la base usa personas/familias del RUD por municipio (S6).</t>
  </si>
  <si>
    <t xml:space="preserve">Sitios candidatos y costos – 17 candidatos + 1 reserva</t>
  </si>
  <si>
    <t xml:space="preserve">Candidatos pequeños (10 de 17): interpretación sujeta a confirmación del profesor. Coordenadas y distancias: PENDIENTES (validación definitiva por carretera con OSRM/OpenStreetMap antes de cerrar la base).</t>
  </si>
  <si>
    <t xml:space="preserve">Identif.</t>
  </si>
  <si>
    <t xml:space="preserve">Calculado</t>
  </si>
  <si>
    <t xml:space="preserve">DIVIPOLA</t>
  </si>
  <si>
    <t xml:space="preserve">Municipio</t>
  </si>
  <si>
    <t xml:space="preserve">Departamento</t>
  </si>
  <si>
    <t xml:space="preserve">Rol</t>
  </si>
  <si>
    <t xml:space="preserve">Población DANE 2026</t>
  </si>
  <si>
    <t xml:space="preserve">NH (RUD)</t>
  </si>
  <si>
    <t xml:space="preserve">Personas registradas (RUD)</t>
  </si>
  <si>
    <t xml:space="preserve">% registrado</t>
  </si>
  <si>
    <t xml:space="preserve">Categoría</t>
  </si>
  <si>
    <t xml:space="preserve">Capacidad K_j</t>
  </si>
  <si>
    <t xml:space="preserve">Factor escala</t>
  </si>
  <si>
    <t xml:space="preserve">Costo fijo por plaza (T meses)</t>
  </si>
  <si>
    <t xml:space="preserve">Costo fijo f_j</t>
  </si>
  <si>
    <t xml:space="preserve">Costo variable v_j</t>
  </si>
  <si>
    <t xml:space="preserve">Filtros S2/S7</t>
  </si>
  <si>
    <t xml:space="preserve">C01</t>
  </si>
  <si>
    <t xml:space="preserve">76520</t>
  </si>
  <si>
    <t xml:space="preserve">Palmira</t>
  </si>
  <si>
    <t xml:space="preserve">Valle del Cauca</t>
  </si>
  <si>
    <t xml:space="preserve">Candidato</t>
  </si>
  <si>
    <t xml:space="preserve">C02</t>
  </si>
  <si>
    <t xml:space="preserve">76834</t>
  </si>
  <si>
    <t xml:space="preserve">Tuluá</t>
  </si>
  <si>
    <t xml:space="preserve">C03</t>
  </si>
  <si>
    <t xml:space="preserve">76364</t>
  </si>
  <si>
    <t xml:space="preserve">Jamundí</t>
  </si>
  <si>
    <t xml:space="preserve">C04</t>
  </si>
  <si>
    <t xml:space="preserve">76147</t>
  </si>
  <si>
    <t xml:space="preserve">Cartago</t>
  </si>
  <si>
    <t xml:space="preserve">C05</t>
  </si>
  <si>
    <t xml:space="preserve">76111</t>
  </si>
  <si>
    <t xml:space="preserve">Guadalajara de Buga</t>
  </si>
  <si>
    <t xml:space="preserve">C06</t>
  </si>
  <si>
    <t xml:space="preserve">76130</t>
  </si>
  <si>
    <t xml:space="preserve">Candelaria</t>
  </si>
  <si>
    <t xml:space="preserve">C07</t>
  </si>
  <si>
    <t xml:space="preserve">76892</t>
  </si>
  <si>
    <t xml:space="preserve">Yumbo</t>
  </si>
  <si>
    <t xml:space="preserve">C08</t>
  </si>
  <si>
    <t xml:space="preserve">76275</t>
  </si>
  <si>
    <t xml:space="preserve">Florida</t>
  </si>
  <si>
    <t xml:space="preserve">C09</t>
  </si>
  <si>
    <t xml:space="preserve">76248</t>
  </si>
  <si>
    <t xml:space="preserve">El Cerrito</t>
  </si>
  <si>
    <t xml:space="preserve">C10</t>
  </si>
  <si>
    <t xml:space="preserve">76563</t>
  </si>
  <si>
    <t xml:space="preserve">Pradera</t>
  </si>
  <si>
    <t xml:space="preserve">C11</t>
  </si>
  <si>
    <t xml:space="preserve">76318</t>
  </si>
  <si>
    <t xml:space="preserve">Guacarí</t>
  </si>
  <si>
    <t xml:space="preserve">C12</t>
  </si>
  <si>
    <t xml:space="preserve">76306</t>
  </si>
  <si>
    <t xml:space="preserve">Ginebra</t>
  </si>
  <si>
    <t xml:space="preserve">C13</t>
  </si>
  <si>
    <t xml:space="preserve">17174</t>
  </si>
  <si>
    <t xml:space="preserve">Chinchiná</t>
  </si>
  <si>
    <t xml:space="preserve">Caldas</t>
  </si>
  <si>
    <t xml:space="preserve">C14</t>
  </si>
  <si>
    <t xml:space="preserve">17777</t>
  </si>
  <si>
    <t xml:space="preserve">Supía</t>
  </si>
  <si>
    <t xml:space="preserve">C15</t>
  </si>
  <si>
    <t xml:space="preserve">17013</t>
  </si>
  <si>
    <t xml:space="preserve">Aguadas</t>
  </si>
  <si>
    <t xml:space="preserve">C16</t>
  </si>
  <si>
    <t xml:space="preserve">17541</t>
  </si>
  <si>
    <t xml:space="preserve">Pensilvania</t>
  </si>
  <si>
    <t xml:space="preserve">C17</t>
  </si>
  <si>
    <t xml:space="preserve">17380</t>
  </si>
  <si>
    <t xml:space="preserve">La Dorada</t>
  </si>
  <si>
    <t xml:space="preserve">Reserva (no entra al cálculo del presupuesto ni a los 17 candidatos base):</t>
  </si>
  <si>
    <t xml:space="preserve">R01</t>
  </si>
  <si>
    <t xml:space="preserve">63401</t>
  </si>
  <si>
    <t xml:space="preserve">La Tebaida</t>
  </si>
  <si>
    <t xml:space="preserve">Quindío</t>
  </si>
  <si>
    <t xml:space="preserve">Reserva</t>
  </si>
  <si>
    <t xml:space="preserve">Notas: (1) NH y personas registradas provienen del consolidado del RUD (corte 17-sep-2026), agregador secundario datosdelterremoto.org. (2) Población: DANE, Proyecciones municipales 2018-2042. (3) La Tebaida no cumple el filtro S7 (8,2%); se mantiene como reserva por su cercanía a Armenia.</t>
  </si>
  <si>
    <t xml:space="preserve">Presupuesto y escenarios (COP)</t>
  </si>
  <si>
    <t xml:space="preserve">Σ costo fijo de los 10 campamentos candidatos más grandes</t>
  </si>
  <si>
    <t xml:space="preserve">% del enunciado</t>
  </si>
  <si>
    <t xml:space="preserve">Presupuesto BASE</t>
  </si>
  <si>
    <t xml:space="preserve">Presupuesto escenario A (reducción P18)</t>
  </si>
  <si>
    <t xml:space="preserve">Presupuesto escenario B (reducción P19)</t>
  </si>
  <si>
    <t xml:space="preserve">Σ costo fijo de los 17 candidatos (abrir todos)</t>
  </si>
  <si>
    <t xml:space="preserve">Capacidad total de los 17 candidatos (personas)</t>
  </si>
  <si>
    <t xml:space="preserve">Presupuesto base / costo de abrir todos</t>
  </si>
  <si>
    <t xml:space="preserve">Sensibilidad del costo fijo por plaza-mes (c_f). Los costos fijos y el presupuesto escalan linealmente con c_f.</t>
  </si>
  <si>
    <t xml:space="preserve">c_f (COP/plaza-mes)</t>
  </si>
  <si>
    <t xml:space="preserve">Costo fijo Grande</t>
  </si>
  <si>
    <t xml:space="preserve">Costo fijo Intermedia</t>
  </si>
  <si>
    <t xml:space="preserve">Costo fijo Pequeña</t>
  </si>
  <si>
    <t xml:space="preserve">Presupuesto A</t>
  </si>
  <si>
    <t xml:space="preserve">Presupuesto B</t>
  </si>
  <si>
    <t xml:space="preserve">Nota: la fila con c_f = P01 reproduce el presupuesto base. El escalamiento lineal del presupuesto es válido porque todo costo fijo es proporcional a c_f.</t>
  </si>
  <si>
    <t xml:space="preserve">Puntos de demanda – 29 municipios (NH ≥ 400, corte RUD 17-sep-2026)</t>
  </si>
  <si>
    <t xml:space="preserve">Familias (RUD)</t>
  </si>
  <si>
    <t xml:space="preserve">Hogar RUD (pers/fam)</t>
  </si>
  <si>
    <t xml:space="preserve">Personas en NH</t>
  </si>
  <si>
    <t xml:space="preserve">d_i f=2%</t>
  </si>
  <si>
    <t xml:space="preserve">d_i f=5%</t>
  </si>
  <si>
    <t xml:space="preserve">d_i f=10% (BASE)</t>
  </si>
  <si>
    <t xml:space="preserve">d_i f=13%</t>
  </si>
  <si>
    <t xml:space="preserve">d_i f=10% hogar 3,0</t>
  </si>
  <si>
    <t xml:space="preserve">Calidad dato RUD</t>
  </si>
  <si>
    <t xml:space="preserve">66001</t>
  </si>
  <si>
    <t xml:space="preserve">Pereira</t>
  </si>
  <si>
    <t xml:space="preserve">Risaralda</t>
  </si>
  <si>
    <t xml:space="preserve">F</t>
  </si>
  <si>
    <t xml:space="preserve">76001</t>
  </si>
  <si>
    <t xml:space="preserve">Cali</t>
  </si>
  <si>
    <t xml:space="preserve">76109</t>
  </si>
  <si>
    <t xml:space="preserve">Buenaventura</t>
  </si>
  <si>
    <t xml:space="preserve">63001</t>
  </si>
  <si>
    <t xml:space="preserve">Armenia</t>
  </si>
  <si>
    <t xml:space="preserve">66170</t>
  </si>
  <si>
    <t xml:space="preserve">Dosquebradas</t>
  </si>
  <si>
    <t xml:space="preserve">17001</t>
  </si>
  <si>
    <t xml:space="preserve">Manizales</t>
  </si>
  <si>
    <t xml:space="preserve">66682</t>
  </si>
  <si>
    <t xml:space="preserve">Santa Rosa de Cabal</t>
  </si>
  <si>
    <t xml:space="preserve">R</t>
  </si>
  <si>
    <t xml:space="preserve">63594</t>
  </si>
  <si>
    <t xml:space="preserve">Quimbaya</t>
  </si>
  <si>
    <t xml:space="preserve">76233</t>
  </si>
  <si>
    <t xml:space="preserve">Dagua</t>
  </si>
  <si>
    <t xml:space="preserve">P</t>
  </si>
  <si>
    <t xml:space="preserve">63470</t>
  </si>
  <si>
    <t xml:space="preserve">Montenegro</t>
  </si>
  <si>
    <t xml:space="preserve">76622</t>
  </si>
  <si>
    <t xml:space="preserve">Roldanillo</t>
  </si>
  <si>
    <t xml:space="preserve">76890</t>
  </si>
  <si>
    <t xml:space="preserve">Yotoco</t>
  </si>
  <si>
    <t xml:space="preserve">76828</t>
  </si>
  <si>
    <t xml:space="preserve">Trujillo</t>
  </si>
  <si>
    <t xml:space="preserve">76054</t>
  </si>
  <si>
    <t xml:space="preserve">Argelia</t>
  </si>
  <si>
    <t xml:space="preserve">17873</t>
  </si>
  <si>
    <t xml:space="preserve">Villamaría</t>
  </si>
  <si>
    <t xml:space="preserve">76400</t>
  </si>
  <si>
    <t xml:space="preserve">La Unión</t>
  </si>
  <si>
    <t xml:space="preserve">76823</t>
  </si>
  <si>
    <t xml:space="preserve">Toro</t>
  </si>
  <si>
    <t xml:space="preserve">76606</t>
  </si>
  <si>
    <t xml:space="preserve">Restrepo</t>
  </si>
  <si>
    <t xml:space="preserve">76895</t>
  </si>
  <si>
    <t xml:space="preserve">Zarzal</t>
  </si>
  <si>
    <t xml:space="preserve">76736</t>
  </si>
  <si>
    <t xml:space="preserve">Sevilla</t>
  </si>
  <si>
    <t xml:space="preserve">76246</t>
  </si>
  <si>
    <t xml:space="preserve">El Cairo</t>
  </si>
  <si>
    <t xml:space="preserve">76041</t>
  </si>
  <si>
    <t xml:space="preserve">Ansermanuevo</t>
  </si>
  <si>
    <t xml:space="preserve">76377</t>
  </si>
  <si>
    <t xml:space="preserve">La Cumbre</t>
  </si>
  <si>
    <t xml:space="preserve">66400</t>
  </si>
  <si>
    <t xml:space="preserve">La Virginia</t>
  </si>
  <si>
    <t xml:space="preserve">76113</t>
  </si>
  <si>
    <t xml:space="preserve">Bugalagrande</t>
  </si>
  <si>
    <t xml:space="preserve">76616</t>
  </si>
  <si>
    <t xml:space="preserve">Riofrío</t>
  </si>
  <si>
    <t xml:space="preserve">76122</t>
  </si>
  <si>
    <t xml:space="preserve">Caicedonia</t>
  </si>
  <si>
    <t xml:space="preserve">63190</t>
  </si>
  <si>
    <t xml:space="preserve">Circasia</t>
  </si>
  <si>
    <t xml:space="preserve">63130</t>
  </si>
  <si>
    <t xml:space="preserve">Calarcá</t>
  </si>
  <si>
    <t xml:space="preserve">TOTAL</t>
  </si>
  <si>
    <t xml:space="preserve">Calidad del dato: F = fuerte (RUD y reporte territorial), P = parcial, R = solo RUD. Hogar RUD = personas registradas / familias registradas (puede subestimar el tamaño real).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</si>
</sst>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"/>
    <numFmt numFmtId="167" formatCode="0.00"/>
    <numFmt numFmtId="168" formatCode="0.0%"/>
    <numFmt numFmtId="169" formatCode="0%"/>
    <numFmt numFmtId="170" formatCode="0.0"/>
    <numFmt numFmtId="171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  <fill>
      <patternFill patternType="solid">
        <fgColor rgb="FFC6E0B4"/>
        <bgColor rgb="FFBFBFB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9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5" t="s">
        <v>9</v>
      </c>
      <c r="C5" s="6" t="n">
        <v>200000</v>
      </c>
      <c r="D5" s="4" t="s">
        <v>10</v>
      </c>
      <c r="E5" s="7" t="s">
        <v>11</v>
      </c>
      <c r="F5" s="5" t="s">
        <v>12</v>
      </c>
    </row>
    <row r="6" customFormat="false" ht="15" hidden="false" customHeight="false" outlineLevel="0" collapsed="false">
      <c r="A6" s="4" t="s">
        <v>13</v>
      </c>
      <c r="B6" s="5" t="s">
        <v>14</v>
      </c>
      <c r="C6" s="8" t="n">
        <v>3</v>
      </c>
      <c r="D6" s="4" t="s">
        <v>15</v>
      </c>
      <c r="E6" s="7" t="s">
        <v>11</v>
      </c>
      <c r="F6" s="5" t="s">
        <v>16</v>
      </c>
    </row>
    <row r="7" customFormat="false" ht="23.85" hidden="false" customHeight="false" outlineLevel="0" collapsed="false">
      <c r="A7" s="4" t="s">
        <v>17</v>
      </c>
      <c r="B7" s="5" t="s">
        <v>18</v>
      </c>
      <c r="C7" s="9" t="n">
        <v>60000</v>
      </c>
      <c r="D7" s="4" t="s">
        <v>19</v>
      </c>
      <c r="E7" s="7" t="s">
        <v>11</v>
      </c>
      <c r="F7" s="5" t="s">
        <v>20</v>
      </c>
    </row>
    <row r="8" customFormat="false" ht="15" hidden="false" customHeight="false" outlineLevel="0" collapsed="false">
      <c r="A8" s="4" t="s">
        <v>21</v>
      </c>
      <c r="B8" s="5" t="s">
        <v>22</v>
      </c>
      <c r="C8" s="9" t="n">
        <v>500</v>
      </c>
      <c r="D8" s="4" t="s">
        <v>23</v>
      </c>
      <c r="E8" s="10" t="s">
        <v>24</v>
      </c>
      <c r="F8" s="5" t="s">
        <v>25</v>
      </c>
    </row>
    <row r="9" customFormat="false" ht="15" hidden="false" customHeight="false" outlineLevel="0" collapsed="false">
      <c r="A9" s="4" t="s">
        <v>26</v>
      </c>
      <c r="B9" s="5" t="s">
        <v>27</v>
      </c>
      <c r="C9" s="11" t="n">
        <v>0.85</v>
      </c>
      <c r="D9" s="4" t="s">
        <v>28</v>
      </c>
      <c r="E9" s="7" t="s">
        <v>11</v>
      </c>
      <c r="F9" s="5" t="s">
        <v>29</v>
      </c>
    </row>
    <row r="10" customFormat="false" ht="15" hidden="false" customHeight="false" outlineLevel="0" collapsed="false">
      <c r="A10" s="4" t="s">
        <v>30</v>
      </c>
      <c r="B10" s="5" t="s">
        <v>31</v>
      </c>
      <c r="C10" s="11" t="n">
        <v>1</v>
      </c>
      <c r="D10" s="4" t="s">
        <v>28</v>
      </c>
      <c r="E10" s="7" t="s">
        <v>11</v>
      </c>
      <c r="F10" s="5" t="s">
        <v>32</v>
      </c>
    </row>
    <row r="11" customFormat="false" ht="15" hidden="false" customHeight="false" outlineLevel="0" collapsed="false">
      <c r="A11" s="4" t="s">
        <v>33</v>
      </c>
      <c r="B11" s="5" t="s">
        <v>34</v>
      </c>
      <c r="C11" s="11" t="n">
        <v>1.15</v>
      </c>
      <c r="D11" s="4" t="s">
        <v>28</v>
      </c>
      <c r="E11" s="7" t="s">
        <v>11</v>
      </c>
      <c r="F11" s="5" t="s">
        <v>35</v>
      </c>
    </row>
    <row r="12" customFormat="false" ht="15" hidden="false" customHeight="false" outlineLevel="0" collapsed="false">
      <c r="A12" s="4" t="s">
        <v>36</v>
      </c>
      <c r="B12" s="5" t="s">
        <v>37</v>
      </c>
      <c r="C12" s="9" t="n">
        <v>3000</v>
      </c>
      <c r="D12" s="4" t="s">
        <v>38</v>
      </c>
      <c r="E12" s="10" t="s">
        <v>24</v>
      </c>
      <c r="F12" s="5" t="s">
        <v>39</v>
      </c>
    </row>
    <row r="13" customFormat="false" ht="15" hidden="false" customHeight="false" outlineLevel="0" collapsed="false">
      <c r="A13" s="4" t="s">
        <v>40</v>
      </c>
      <c r="B13" s="5" t="s">
        <v>41</v>
      </c>
      <c r="C13" s="9" t="n">
        <v>1000</v>
      </c>
      <c r="D13" s="4" t="s">
        <v>38</v>
      </c>
      <c r="E13" s="10" t="s">
        <v>24</v>
      </c>
      <c r="F13" s="5" t="s">
        <v>39</v>
      </c>
    </row>
    <row r="14" customFormat="false" ht="15" hidden="false" customHeight="false" outlineLevel="0" collapsed="false">
      <c r="A14" s="4" t="s">
        <v>42</v>
      </c>
      <c r="B14" s="5" t="s">
        <v>43</v>
      </c>
      <c r="C14" s="9" t="n">
        <v>500</v>
      </c>
      <c r="D14" s="4" t="s">
        <v>38</v>
      </c>
      <c r="E14" s="10" t="s">
        <v>24</v>
      </c>
      <c r="F14" s="5" t="s">
        <v>39</v>
      </c>
    </row>
    <row r="15" customFormat="false" ht="15" hidden="false" customHeight="false" outlineLevel="0" collapsed="false">
      <c r="A15" s="4" t="s">
        <v>44</v>
      </c>
      <c r="B15" s="5" t="s">
        <v>45</v>
      </c>
      <c r="C15" s="9" t="n">
        <v>200000</v>
      </c>
      <c r="D15" s="4" t="s">
        <v>46</v>
      </c>
      <c r="E15" s="7" t="s">
        <v>11</v>
      </c>
      <c r="F15" s="5" t="s">
        <v>47</v>
      </c>
    </row>
    <row r="16" customFormat="false" ht="15" hidden="false" customHeight="false" outlineLevel="0" collapsed="false">
      <c r="A16" s="4" t="s">
        <v>48</v>
      </c>
      <c r="B16" s="5" t="s">
        <v>49</v>
      </c>
      <c r="C16" s="9" t="n">
        <v>100000</v>
      </c>
      <c r="D16" s="4" t="s">
        <v>46</v>
      </c>
      <c r="E16" s="7" t="s">
        <v>11</v>
      </c>
      <c r="F16" s="5" t="s">
        <v>50</v>
      </c>
    </row>
    <row r="17" customFormat="false" ht="15" hidden="false" customHeight="false" outlineLevel="0" collapsed="false">
      <c r="A17" s="4" t="s">
        <v>51</v>
      </c>
      <c r="B17" s="5" t="s">
        <v>52</v>
      </c>
      <c r="C17" s="9" t="n">
        <v>250</v>
      </c>
      <c r="D17" s="4" t="s">
        <v>53</v>
      </c>
      <c r="E17" s="7" t="s">
        <v>11</v>
      </c>
      <c r="F17" s="5" t="s">
        <v>54</v>
      </c>
    </row>
    <row r="18" customFormat="false" ht="15" hidden="false" customHeight="false" outlineLevel="0" collapsed="false">
      <c r="A18" s="4" t="s">
        <v>55</v>
      </c>
      <c r="B18" s="5" t="s">
        <v>56</v>
      </c>
      <c r="C18" s="12" t="n">
        <v>0.05</v>
      </c>
      <c r="D18" s="4" t="s">
        <v>57</v>
      </c>
      <c r="E18" s="7" t="s">
        <v>11</v>
      </c>
      <c r="F18" s="5" t="s">
        <v>58</v>
      </c>
    </row>
    <row r="19" customFormat="false" ht="15" hidden="false" customHeight="false" outlineLevel="0" collapsed="false">
      <c r="A19" s="4" t="s">
        <v>59</v>
      </c>
      <c r="B19" s="5" t="s">
        <v>60</v>
      </c>
      <c r="C19" s="9" t="n">
        <v>400</v>
      </c>
      <c r="D19" s="4" t="s">
        <v>53</v>
      </c>
      <c r="E19" s="7" t="s">
        <v>11</v>
      </c>
      <c r="F19" s="5" t="s">
        <v>61</v>
      </c>
    </row>
    <row r="20" customFormat="false" ht="15" hidden="false" customHeight="false" outlineLevel="0" collapsed="false">
      <c r="A20" s="4" t="s">
        <v>62</v>
      </c>
      <c r="B20" s="5" t="s">
        <v>63</v>
      </c>
      <c r="C20" s="9" t="n">
        <v>180</v>
      </c>
      <c r="D20" s="4" t="s">
        <v>64</v>
      </c>
      <c r="E20" s="10" t="s">
        <v>24</v>
      </c>
      <c r="F20" s="5" t="s">
        <v>39</v>
      </c>
    </row>
    <row r="21" customFormat="false" ht="23.85" hidden="false" customHeight="false" outlineLevel="0" collapsed="false">
      <c r="A21" s="4" t="s">
        <v>65</v>
      </c>
      <c r="B21" s="5" t="s">
        <v>66</v>
      </c>
      <c r="C21" s="13" t="n">
        <v>0.5</v>
      </c>
      <c r="D21" s="4" t="s">
        <v>57</v>
      </c>
      <c r="E21" s="10" t="s">
        <v>24</v>
      </c>
      <c r="F21" s="5" t="s">
        <v>39</v>
      </c>
    </row>
    <row r="22" customFormat="false" ht="15" hidden="false" customHeight="false" outlineLevel="0" collapsed="false">
      <c r="A22" s="4" t="s">
        <v>67</v>
      </c>
      <c r="B22" s="5" t="s">
        <v>68</v>
      </c>
      <c r="C22" s="13" t="n">
        <v>0.15</v>
      </c>
      <c r="D22" s="4" t="s">
        <v>57</v>
      </c>
      <c r="E22" s="7" t="s">
        <v>11</v>
      </c>
      <c r="F22" s="5" t="s">
        <v>69</v>
      </c>
    </row>
    <row r="23" customFormat="false" ht="15" hidden="false" customHeight="false" outlineLevel="0" collapsed="false">
      <c r="A23" s="4" t="s">
        <v>70</v>
      </c>
      <c r="B23" s="5" t="s">
        <v>71</v>
      </c>
      <c r="C23" s="13" t="n">
        <v>0.3</v>
      </c>
      <c r="D23" s="4" t="s">
        <v>57</v>
      </c>
      <c r="E23" s="7" t="s">
        <v>11</v>
      </c>
      <c r="F23" s="5" t="s">
        <v>72</v>
      </c>
    </row>
    <row r="24" customFormat="false" ht="15" hidden="false" customHeight="false" outlineLevel="0" collapsed="false">
      <c r="A24" s="4" t="s">
        <v>73</v>
      </c>
      <c r="B24" s="5" t="s">
        <v>74</v>
      </c>
      <c r="C24" s="12" t="n">
        <v>0.1</v>
      </c>
      <c r="D24" s="4" t="s">
        <v>57</v>
      </c>
      <c r="E24" s="7" t="s">
        <v>11</v>
      </c>
      <c r="F24" s="5" t="s">
        <v>75</v>
      </c>
    </row>
    <row r="25" customFormat="false" ht="15" hidden="false" customHeight="false" outlineLevel="0" collapsed="false">
      <c r="A25" s="4" t="s">
        <v>76</v>
      </c>
      <c r="B25" s="5" t="s">
        <v>77</v>
      </c>
      <c r="C25" s="12" t="n">
        <v>0.02</v>
      </c>
      <c r="D25" s="4" t="s">
        <v>57</v>
      </c>
      <c r="E25" s="7" t="s">
        <v>11</v>
      </c>
      <c r="F25" s="5" t="s">
        <v>78</v>
      </c>
    </row>
    <row r="26" customFormat="false" ht="15" hidden="false" customHeight="false" outlineLevel="0" collapsed="false">
      <c r="A26" s="4" t="s">
        <v>79</v>
      </c>
      <c r="B26" s="5" t="s">
        <v>80</v>
      </c>
      <c r="C26" s="12" t="n">
        <v>0.05</v>
      </c>
      <c r="D26" s="4" t="s">
        <v>57</v>
      </c>
      <c r="E26" s="7" t="s">
        <v>11</v>
      </c>
      <c r="F26" s="5" t="s">
        <v>81</v>
      </c>
    </row>
    <row r="27" customFormat="false" ht="15" hidden="false" customHeight="false" outlineLevel="0" collapsed="false">
      <c r="A27" s="4" t="s">
        <v>82</v>
      </c>
      <c r="B27" s="5" t="s">
        <v>83</v>
      </c>
      <c r="C27" s="12" t="n">
        <v>0.13</v>
      </c>
      <c r="D27" s="4" t="s">
        <v>57</v>
      </c>
      <c r="E27" s="7" t="s">
        <v>11</v>
      </c>
      <c r="F27" s="5" t="s">
        <v>84</v>
      </c>
    </row>
    <row r="28" customFormat="false" ht="15" hidden="false" customHeight="false" outlineLevel="0" collapsed="false">
      <c r="A28" s="4" t="s">
        <v>85</v>
      </c>
      <c r="B28" s="5" t="s">
        <v>86</v>
      </c>
      <c r="C28" s="14" t="n">
        <v>3</v>
      </c>
      <c r="D28" s="4" t="s">
        <v>87</v>
      </c>
      <c r="E28" s="7" t="s">
        <v>11</v>
      </c>
      <c r="F28" s="5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4" min="13" style="0" width="16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16.1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5" t="s">
        <v>91</v>
      </c>
      <c r="B4" s="15" t="s">
        <v>91</v>
      </c>
      <c r="C4" s="15" t="s">
        <v>91</v>
      </c>
      <c r="D4" s="15" t="s">
        <v>91</v>
      </c>
      <c r="E4" s="16" t="s">
        <v>11</v>
      </c>
      <c r="F4" s="17" t="s">
        <v>24</v>
      </c>
      <c r="G4" s="17" t="s">
        <v>24</v>
      </c>
      <c r="H4" s="17" t="s">
        <v>24</v>
      </c>
      <c r="I4" s="18" t="s">
        <v>92</v>
      </c>
      <c r="J4" s="18" t="s">
        <v>92</v>
      </c>
      <c r="K4" s="17" t="s">
        <v>24</v>
      </c>
      <c r="L4" s="16" t="s">
        <v>11</v>
      </c>
      <c r="M4" s="18" t="s">
        <v>92</v>
      </c>
      <c r="N4" s="18" t="s">
        <v>92</v>
      </c>
      <c r="O4" s="16" t="s">
        <v>11</v>
      </c>
      <c r="P4" s="18" t="s">
        <v>92</v>
      </c>
    </row>
    <row r="5" customFormat="false" ht="42" hidden="false" customHeight="true" outlineLevel="0" collapsed="false">
      <c r="A5" s="3" t="s">
        <v>2</v>
      </c>
      <c r="B5" s="3" t="s">
        <v>93</v>
      </c>
      <c r="C5" s="3" t="s">
        <v>94</v>
      </c>
      <c r="D5" s="3" t="s">
        <v>95</v>
      </c>
      <c r="E5" s="3" t="s">
        <v>96</v>
      </c>
      <c r="F5" s="3" t="s">
        <v>97</v>
      </c>
      <c r="G5" s="3" t="s">
        <v>98</v>
      </c>
      <c r="H5" s="3" t="s">
        <v>99</v>
      </c>
      <c r="I5" s="3" t="s">
        <v>100</v>
      </c>
      <c r="J5" s="3" t="s">
        <v>101</v>
      </c>
      <c r="K5" s="3" t="s">
        <v>102</v>
      </c>
      <c r="L5" s="3" t="s">
        <v>103</v>
      </c>
      <c r="M5" s="3" t="s">
        <v>104</v>
      </c>
      <c r="N5" s="3" t="s">
        <v>105</v>
      </c>
      <c r="O5" s="3" t="s">
        <v>106</v>
      </c>
      <c r="P5" s="3" t="s">
        <v>107</v>
      </c>
    </row>
    <row r="6" customFormat="false" ht="15" hidden="false" customHeight="false" outlineLevel="0" collapsed="false">
      <c r="A6" s="19" t="s">
        <v>108</v>
      </c>
      <c r="B6" s="19" t="s">
        <v>109</v>
      </c>
      <c r="C6" s="19" t="s">
        <v>110</v>
      </c>
      <c r="D6" s="19" t="s">
        <v>111</v>
      </c>
      <c r="E6" s="19" t="s">
        <v>112</v>
      </c>
      <c r="F6" s="20" t="n">
        <v>382703</v>
      </c>
      <c r="G6" s="20" t="n">
        <v>74</v>
      </c>
      <c r="H6" s="20" t="n">
        <v>2411</v>
      </c>
      <c r="I6" s="21" t="n">
        <f aca="false">H6/F6</f>
        <v>0.00629992448452194</v>
      </c>
      <c r="J6" s="19" t="str">
        <f aca="false">IF(F6&gt;=Parametros!$C$15,"Grande",IF(F6&gt;=Parametros!$C$16,"Intermedia","Pequeña"))</f>
        <v>Grande</v>
      </c>
      <c r="K6" s="22" t="n">
        <f aca="false">IF(J6="Grande",Parametros!$C$12,IF(J6="Intermedia",Parametros!$C$13,Parametros!$C$14))</f>
        <v>3000</v>
      </c>
      <c r="L6" s="23" t="n">
        <f aca="false">IF(J6="Grande",Parametros!$C$9,IF(J6="Intermedia",Parametros!$C$10,Parametros!$C$11))</f>
        <v>0.85</v>
      </c>
      <c r="M6" s="24" t="n">
        <f aca="false">Parametros!$C$5*Parametros!$C$6*L6</f>
        <v>510000</v>
      </c>
      <c r="N6" s="24" t="n">
        <f aca="false">K6*M6</f>
        <v>1530000000</v>
      </c>
      <c r="O6" s="24" t="n">
        <f aca="false">Parametros!$C$7</f>
        <v>60000</v>
      </c>
      <c r="P6" s="19" t="str">
        <f aca="false">IF(AND(G6&lt;Parametros!$C$17,I6&lt;Parametros!$C$18),"Cumple","No cumple")</f>
        <v>Cumple</v>
      </c>
    </row>
    <row r="7" customFormat="false" ht="15" hidden="false" customHeight="false" outlineLevel="0" collapsed="false">
      <c r="A7" s="19" t="s">
        <v>113</v>
      </c>
      <c r="B7" s="19" t="s">
        <v>114</v>
      </c>
      <c r="C7" s="19" t="s">
        <v>115</v>
      </c>
      <c r="D7" s="19" t="s">
        <v>111</v>
      </c>
      <c r="E7" s="19" t="s">
        <v>112</v>
      </c>
      <c r="F7" s="20" t="n">
        <v>225868</v>
      </c>
      <c r="G7" s="20" t="n">
        <v>66</v>
      </c>
      <c r="H7" s="20" t="n">
        <v>2582</v>
      </c>
      <c r="I7" s="21" t="n">
        <f aca="false">H7/F7</f>
        <v>0.0114314555404041</v>
      </c>
      <c r="J7" s="19" t="str">
        <f aca="false">IF(F7&gt;=Parametros!$C$15,"Grande",IF(F7&gt;=Parametros!$C$16,"Intermedia","Pequeña"))</f>
        <v>Grande</v>
      </c>
      <c r="K7" s="22" t="n">
        <f aca="false">IF(J7="Grande",Parametros!$C$12,IF(J7="Intermedia",Parametros!$C$13,Parametros!$C$14))</f>
        <v>3000</v>
      </c>
      <c r="L7" s="23" t="n">
        <f aca="false">IF(J7="Grande",Parametros!$C$9,IF(J7="Intermedia",Parametros!$C$10,Parametros!$C$11))</f>
        <v>0.85</v>
      </c>
      <c r="M7" s="24" t="n">
        <f aca="false">Parametros!$C$5*Parametros!$C$6*L7</f>
        <v>510000</v>
      </c>
      <c r="N7" s="24" t="n">
        <f aca="false">K7*M7</f>
        <v>1530000000</v>
      </c>
      <c r="O7" s="24" t="n">
        <f aca="false">Parametros!$C$7</f>
        <v>60000</v>
      </c>
      <c r="P7" s="19" t="str">
        <f aca="false">IF(AND(G7&lt;Parametros!$C$17,I7&lt;Parametros!$C$18),"Cumple","No cumple")</f>
        <v>Cumple</v>
      </c>
    </row>
    <row r="8" customFormat="false" ht="15" hidden="false" customHeight="false" outlineLevel="0" collapsed="false">
      <c r="A8" s="19" t="s">
        <v>116</v>
      </c>
      <c r="B8" s="19" t="s">
        <v>117</v>
      </c>
      <c r="C8" s="19" t="s">
        <v>118</v>
      </c>
      <c r="D8" s="19" t="s">
        <v>111</v>
      </c>
      <c r="E8" s="19" t="s">
        <v>112</v>
      </c>
      <c r="F8" s="20" t="n">
        <v>196875</v>
      </c>
      <c r="G8" s="20" t="n">
        <v>161</v>
      </c>
      <c r="H8" s="20" t="n">
        <v>4396</v>
      </c>
      <c r="I8" s="21" t="n">
        <f aca="false">H8/F8</f>
        <v>0.0223288888888889</v>
      </c>
      <c r="J8" s="19" t="str">
        <f aca="false">IF(F8&gt;=Parametros!$C$15,"Grande",IF(F8&gt;=Parametros!$C$16,"Intermedia","Pequeña"))</f>
        <v>Intermedia</v>
      </c>
      <c r="K8" s="22" t="n">
        <f aca="false">IF(J8="Grande",Parametros!$C$12,IF(J8="Intermedia",Parametros!$C$13,Parametros!$C$14))</f>
        <v>1000</v>
      </c>
      <c r="L8" s="23" t="n">
        <f aca="false">IF(J8="Grande",Parametros!$C$9,IF(J8="Intermedia",Parametros!$C$10,Parametros!$C$11))</f>
        <v>1</v>
      </c>
      <c r="M8" s="24" t="n">
        <f aca="false">Parametros!$C$5*Parametros!$C$6*L8</f>
        <v>600000</v>
      </c>
      <c r="N8" s="24" t="n">
        <f aca="false">K8*M8</f>
        <v>600000000</v>
      </c>
      <c r="O8" s="24" t="n">
        <f aca="false">Parametros!$C$7</f>
        <v>60000</v>
      </c>
      <c r="P8" s="19" t="str">
        <f aca="false">IF(AND(G8&lt;Parametros!$C$17,I8&lt;Parametros!$C$18),"Cumple","No cumple")</f>
        <v>Cumple</v>
      </c>
    </row>
    <row r="9" customFormat="false" ht="15" hidden="false" customHeight="false" outlineLevel="0" collapsed="false">
      <c r="A9" s="19" t="s">
        <v>119</v>
      </c>
      <c r="B9" s="19" t="s">
        <v>120</v>
      </c>
      <c r="C9" s="19" t="s">
        <v>121</v>
      </c>
      <c r="D9" s="19" t="s">
        <v>111</v>
      </c>
      <c r="E9" s="19" t="s">
        <v>112</v>
      </c>
      <c r="F9" s="20" t="n">
        <v>144206</v>
      </c>
      <c r="G9" s="20" t="n">
        <v>207</v>
      </c>
      <c r="H9" s="20" t="n">
        <v>2490</v>
      </c>
      <c r="I9" s="21" t="n">
        <f aca="false">H9/F9</f>
        <v>0.0172669653135098</v>
      </c>
      <c r="J9" s="19" t="str">
        <f aca="false">IF(F9&gt;=Parametros!$C$15,"Grande",IF(F9&gt;=Parametros!$C$16,"Intermedia","Pequeña"))</f>
        <v>Intermedia</v>
      </c>
      <c r="K9" s="22" t="n">
        <f aca="false">IF(J9="Grande",Parametros!$C$12,IF(J9="Intermedia",Parametros!$C$13,Parametros!$C$14))</f>
        <v>1000</v>
      </c>
      <c r="L9" s="23" t="n">
        <f aca="false">IF(J9="Grande",Parametros!$C$9,IF(J9="Intermedia",Parametros!$C$10,Parametros!$C$11))</f>
        <v>1</v>
      </c>
      <c r="M9" s="24" t="n">
        <f aca="false">Parametros!$C$5*Parametros!$C$6*L9</f>
        <v>600000</v>
      </c>
      <c r="N9" s="24" t="n">
        <f aca="false">K9*M9</f>
        <v>600000000</v>
      </c>
      <c r="O9" s="24" t="n">
        <f aca="false">Parametros!$C$7</f>
        <v>60000</v>
      </c>
      <c r="P9" s="19" t="str">
        <f aca="false">IF(AND(G9&lt;Parametros!$C$17,I9&lt;Parametros!$C$18),"Cumple","No cumple")</f>
        <v>Cumple</v>
      </c>
    </row>
    <row r="10" customFormat="false" ht="15" hidden="false" customHeight="false" outlineLevel="0" collapsed="false">
      <c r="A10" s="19" t="s">
        <v>122</v>
      </c>
      <c r="B10" s="19" t="s">
        <v>123</v>
      </c>
      <c r="C10" s="19" t="s">
        <v>124</v>
      </c>
      <c r="D10" s="19" t="s">
        <v>111</v>
      </c>
      <c r="E10" s="19" t="s">
        <v>112</v>
      </c>
      <c r="F10" s="20" t="n">
        <v>132250</v>
      </c>
      <c r="G10" s="20" t="n">
        <v>80</v>
      </c>
      <c r="H10" s="20" t="n">
        <v>1554</v>
      </c>
      <c r="I10" s="21" t="n">
        <f aca="false">H10/F10</f>
        <v>0.0117504725897921</v>
      </c>
      <c r="J10" s="19" t="str">
        <f aca="false">IF(F10&gt;=Parametros!$C$15,"Grande",IF(F10&gt;=Parametros!$C$16,"Intermedia","Pequeña"))</f>
        <v>Intermedia</v>
      </c>
      <c r="K10" s="22" t="n">
        <f aca="false">IF(J10="Grande",Parametros!$C$12,IF(J10="Intermedia",Parametros!$C$13,Parametros!$C$14))</f>
        <v>1000</v>
      </c>
      <c r="L10" s="23" t="n">
        <f aca="false">IF(J10="Grande",Parametros!$C$9,IF(J10="Intermedia",Parametros!$C$10,Parametros!$C$11))</f>
        <v>1</v>
      </c>
      <c r="M10" s="24" t="n">
        <f aca="false">Parametros!$C$5*Parametros!$C$6*L10</f>
        <v>600000</v>
      </c>
      <c r="N10" s="24" t="n">
        <f aca="false">K10*M10</f>
        <v>600000000</v>
      </c>
      <c r="O10" s="24" t="n">
        <f aca="false">Parametros!$C$7</f>
        <v>60000</v>
      </c>
      <c r="P10" s="19" t="str">
        <f aca="false">IF(AND(G10&lt;Parametros!$C$17,I10&lt;Parametros!$C$18),"Cumple","No cumple")</f>
        <v>Cumple</v>
      </c>
    </row>
    <row r="11" customFormat="false" ht="15" hidden="false" customHeight="false" outlineLevel="0" collapsed="false">
      <c r="A11" s="19" t="s">
        <v>125</v>
      </c>
      <c r="B11" s="19" t="s">
        <v>126</v>
      </c>
      <c r="C11" s="19" t="s">
        <v>127</v>
      </c>
      <c r="D11" s="19" t="s">
        <v>111</v>
      </c>
      <c r="E11" s="19" t="s">
        <v>112</v>
      </c>
      <c r="F11" s="20" t="n">
        <v>115933</v>
      </c>
      <c r="G11" s="20" t="n">
        <v>22</v>
      </c>
      <c r="H11" s="20" t="n">
        <v>573</v>
      </c>
      <c r="I11" s="21" t="n">
        <f aca="false">H11/F11</f>
        <v>0.0049425098979583</v>
      </c>
      <c r="J11" s="19" t="str">
        <f aca="false">IF(F11&gt;=Parametros!$C$15,"Grande",IF(F11&gt;=Parametros!$C$16,"Intermedia","Pequeña"))</f>
        <v>Intermedia</v>
      </c>
      <c r="K11" s="22" t="n">
        <f aca="false">IF(J11="Grande",Parametros!$C$12,IF(J11="Intermedia",Parametros!$C$13,Parametros!$C$14))</f>
        <v>1000</v>
      </c>
      <c r="L11" s="23" t="n">
        <f aca="false">IF(J11="Grande",Parametros!$C$9,IF(J11="Intermedia",Parametros!$C$10,Parametros!$C$11))</f>
        <v>1</v>
      </c>
      <c r="M11" s="24" t="n">
        <f aca="false">Parametros!$C$5*Parametros!$C$6*L11</f>
        <v>600000</v>
      </c>
      <c r="N11" s="24" t="n">
        <f aca="false">K11*M11</f>
        <v>600000000</v>
      </c>
      <c r="O11" s="24" t="n">
        <f aca="false">Parametros!$C$7</f>
        <v>60000</v>
      </c>
      <c r="P11" s="19" t="str">
        <f aca="false">IF(AND(G11&lt;Parametros!$C$17,I11&lt;Parametros!$C$18),"Cumple","No cumple")</f>
        <v>Cumple</v>
      </c>
    </row>
    <row r="12" customFormat="false" ht="15" hidden="false" customHeight="false" outlineLevel="0" collapsed="false">
      <c r="A12" s="19" t="s">
        <v>128</v>
      </c>
      <c r="B12" s="19" t="s">
        <v>129</v>
      </c>
      <c r="C12" s="19" t="s">
        <v>130</v>
      </c>
      <c r="D12" s="19" t="s">
        <v>111</v>
      </c>
      <c r="E12" s="19" t="s">
        <v>112</v>
      </c>
      <c r="F12" s="20" t="n">
        <v>115667</v>
      </c>
      <c r="G12" s="20" t="n">
        <v>158</v>
      </c>
      <c r="H12" s="20" t="n">
        <v>2388</v>
      </c>
      <c r="I12" s="21" t="n">
        <f aca="false">H12/F12</f>
        <v>0.0206454736441682</v>
      </c>
      <c r="J12" s="19" t="str">
        <f aca="false">IF(F12&gt;=Parametros!$C$15,"Grande",IF(F12&gt;=Parametros!$C$16,"Intermedia","Pequeña"))</f>
        <v>Intermedia</v>
      </c>
      <c r="K12" s="22" t="n">
        <f aca="false">IF(J12="Grande",Parametros!$C$12,IF(J12="Intermedia",Parametros!$C$13,Parametros!$C$14))</f>
        <v>1000</v>
      </c>
      <c r="L12" s="23" t="n">
        <f aca="false">IF(J12="Grande",Parametros!$C$9,IF(J12="Intermedia",Parametros!$C$10,Parametros!$C$11))</f>
        <v>1</v>
      </c>
      <c r="M12" s="24" t="n">
        <f aca="false">Parametros!$C$5*Parametros!$C$6*L12</f>
        <v>600000</v>
      </c>
      <c r="N12" s="24" t="n">
        <f aca="false">K12*M12</f>
        <v>600000000</v>
      </c>
      <c r="O12" s="24" t="n">
        <f aca="false">Parametros!$C$7</f>
        <v>60000</v>
      </c>
      <c r="P12" s="19" t="str">
        <f aca="false">IF(AND(G12&lt;Parametros!$C$17,I12&lt;Parametros!$C$18),"Cumple","No cumple")</f>
        <v>Cumple</v>
      </c>
    </row>
    <row r="13" customFormat="false" ht="15" hidden="false" customHeight="false" outlineLevel="0" collapsed="false">
      <c r="A13" s="19" t="s">
        <v>131</v>
      </c>
      <c r="B13" s="19" t="s">
        <v>132</v>
      </c>
      <c r="C13" s="19" t="s">
        <v>133</v>
      </c>
      <c r="D13" s="19" t="s">
        <v>111</v>
      </c>
      <c r="E13" s="19" t="s">
        <v>112</v>
      </c>
      <c r="F13" s="20" t="n">
        <v>57017</v>
      </c>
      <c r="G13" s="20" t="n">
        <v>19</v>
      </c>
      <c r="H13" s="20" t="n">
        <v>986</v>
      </c>
      <c r="I13" s="21" t="n">
        <f aca="false">H13/F13</f>
        <v>0.0172930880263781</v>
      </c>
      <c r="J13" s="19" t="str">
        <f aca="false">IF(F13&gt;=Parametros!$C$15,"Grande",IF(F13&gt;=Parametros!$C$16,"Intermedia","Pequeña"))</f>
        <v>Pequeña</v>
      </c>
      <c r="K13" s="22" t="n">
        <f aca="false">IF(J13="Grande",Parametros!$C$12,IF(J13="Intermedia",Parametros!$C$13,Parametros!$C$14))</f>
        <v>500</v>
      </c>
      <c r="L13" s="23" t="n">
        <f aca="false">IF(J13="Grande",Parametros!$C$9,IF(J13="Intermedia",Parametros!$C$10,Parametros!$C$11))</f>
        <v>1.15</v>
      </c>
      <c r="M13" s="24" t="n">
        <f aca="false">Parametros!$C$5*Parametros!$C$6*L13</f>
        <v>690000</v>
      </c>
      <c r="N13" s="24" t="n">
        <f aca="false">K13*M13</f>
        <v>345000000</v>
      </c>
      <c r="O13" s="24" t="n">
        <f aca="false">Parametros!$C$7</f>
        <v>60000</v>
      </c>
      <c r="P13" s="19" t="str">
        <f aca="false">IF(AND(G13&lt;Parametros!$C$17,I13&lt;Parametros!$C$18),"Cumple","No cumple")</f>
        <v>Cumple</v>
      </c>
    </row>
    <row r="14" customFormat="false" ht="15" hidden="false" customHeight="false" outlineLevel="0" collapsed="false">
      <c r="A14" s="19" t="s">
        <v>134</v>
      </c>
      <c r="B14" s="19" t="s">
        <v>135</v>
      </c>
      <c r="C14" s="19" t="s">
        <v>136</v>
      </c>
      <c r="D14" s="19" t="s">
        <v>111</v>
      </c>
      <c r="E14" s="19" t="s">
        <v>112</v>
      </c>
      <c r="F14" s="20" t="n">
        <v>56397</v>
      </c>
      <c r="G14" s="20" t="n">
        <v>21</v>
      </c>
      <c r="H14" s="20" t="n">
        <v>537</v>
      </c>
      <c r="I14" s="21" t="n">
        <f aca="false">H14/F14</f>
        <v>0.00952178307356774</v>
      </c>
      <c r="J14" s="19" t="str">
        <f aca="false">IF(F14&gt;=Parametros!$C$15,"Grande",IF(F14&gt;=Parametros!$C$16,"Intermedia","Pequeña"))</f>
        <v>Pequeña</v>
      </c>
      <c r="K14" s="22" t="n">
        <f aca="false">IF(J14="Grande",Parametros!$C$12,IF(J14="Intermedia",Parametros!$C$13,Parametros!$C$14))</f>
        <v>500</v>
      </c>
      <c r="L14" s="23" t="n">
        <f aca="false">IF(J14="Grande",Parametros!$C$9,IF(J14="Intermedia",Parametros!$C$10,Parametros!$C$11))</f>
        <v>1.15</v>
      </c>
      <c r="M14" s="24" t="n">
        <f aca="false">Parametros!$C$5*Parametros!$C$6*L14</f>
        <v>690000</v>
      </c>
      <c r="N14" s="24" t="n">
        <f aca="false">K14*M14</f>
        <v>345000000</v>
      </c>
      <c r="O14" s="24" t="n">
        <f aca="false">Parametros!$C$7</f>
        <v>60000</v>
      </c>
      <c r="P14" s="19" t="str">
        <f aca="false">IF(AND(G14&lt;Parametros!$C$17,I14&lt;Parametros!$C$18),"Cumple","No cumple")</f>
        <v>Cumple</v>
      </c>
    </row>
    <row r="15" customFormat="false" ht="15" hidden="false" customHeight="false" outlineLevel="0" collapsed="false">
      <c r="A15" s="19" t="s">
        <v>137</v>
      </c>
      <c r="B15" s="19" t="s">
        <v>138</v>
      </c>
      <c r="C15" s="19" t="s">
        <v>139</v>
      </c>
      <c r="D15" s="19" t="s">
        <v>111</v>
      </c>
      <c r="E15" s="19" t="s">
        <v>112</v>
      </c>
      <c r="F15" s="20" t="n">
        <v>50067</v>
      </c>
      <c r="G15" s="20" t="n">
        <v>16</v>
      </c>
      <c r="H15" s="20" t="n">
        <v>742</v>
      </c>
      <c r="I15" s="21" t="n">
        <f aca="false">H15/F15</f>
        <v>0.0148201410110452</v>
      </c>
      <c r="J15" s="19" t="str">
        <f aca="false">IF(F15&gt;=Parametros!$C$15,"Grande",IF(F15&gt;=Parametros!$C$16,"Intermedia","Pequeña"))</f>
        <v>Pequeña</v>
      </c>
      <c r="K15" s="22" t="n">
        <f aca="false">IF(J15="Grande",Parametros!$C$12,IF(J15="Intermedia",Parametros!$C$13,Parametros!$C$14))</f>
        <v>500</v>
      </c>
      <c r="L15" s="23" t="n">
        <f aca="false">IF(J15="Grande",Parametros!$C$9,IF(J15="Intermedia",Parametros!$C$10,Parametros!$C$11))</f>
        <v>1.15</v>
      </c>
      <c r="M15" s="24" t="n">
        <f aca="false">Parametros!$C$5*Parametros!$C$6*L15</f>
        <v>690000</v>
      </c>
      <c r="N15" s="24" t="n">
        <f aca="false">K15*M15</f>
        <v>345000000</v>
      </c>
      <c r="O15" s="24" t="n">
        <f aca="false">Parametros!$C$7</f>
        <v>60000</v>
      </c>
      <c r="P15" s="19" t="str">
        <f aca="false">IF(AND(G15&lt;Parametros!$C$17,I15&lt;Parametros!$C$18),"Cumple","No cumple")</f>
        <v>Cumple</v>
      </c>
    </row>
    <row r="16" customFormat="false" ht="15" hidden="false" customHeight="false" outlineLevel="0" collapsed="false">
      <c r="A16" s="19" t="s">
        <v>140</v>
      </c>
      <c r="B16" s="19" t="s">
        <v>141</v>
      </c>
      <c r="C16" s="19" t="s">
        <v>142</v>
      </c>
      <c r="D16" s="19" t="s">
        <v>111</v>
      </c>
      <c r="E16" s="19" t="s">
        <v>112</v>
      </c>
      <c r="F16" s="20" t="n">
        <v>34739</v>
      </c>
      <c r="G16" s="20" t="n">
        <v>47</v>
      </c>
      <c r="H16" s="20" t="n">
        <v>373</v>
      </c>
      <c r="I16" s="21" t="n">
        <f aca="false">H16/F16</f>
        <v>0.0107372117792683</v>
      </c>
      <c r="J16" s="19" t="str">
        <f aca="false">IF(F16&gt;=Parametros!$C$15,"Grande",IF(F16&gt;=Parametros!$C$16,"Intermedia","Pequeña"))</f>
        <v>Pequeña</v>
      </c>
      <c r="K16" s="22" t="n">
        <f aca="false">IF(J16="Grande",Parametros!$C$12,IF(J16="Intermedia",Parametros!$C$13,Parametros!$C$14))</f>
        <v>500</v>
      </c>
      <c r="L16" s="23" t="n">
        <f aca="false">IF(J16="Grande",Parametros!$C$9,IF(J16="Intermedia",Parametros!$C$10,Parametros!$C$11))</f>
        <v>1.15</v>
      </c>
      <c r="M16" s="24" t="n">
        <f aca="false">Parametros!$C$5*Parametros!$C$6*L16</f>
        <v>690000</v>
      </c>
      <c r="N16" s="24" t="n">
        <f aca="false">K16*M16</f>
        <v>345000000</v>
      </c>
      <c r="O16" s="24" t="n">
        <f aca="false">Parametros!$C$7</f>
        <v>60000</v>
      </c>
      <c r="P16" s="19" t="str">
        <f aca="false">IF(AND(G16&lt;Parametros!$C$17,I16&lt;Parametros!$C$18),"Cumple","No cumple")</f>
        <v>Cumple</v>
      </c>
    </row>
    <row r="17" customFormat="false" ht="15" hidden="false" customHeight="false" outlineLevel="0" collapsed="false">
      <c r="A17" s="19" t="s">
        <v>143</v>
      </c>
      <c r="B17" s="19" t="s">
        <v>144</v>
      </c>
      <c r="C17" s="19" t="s">
        <v>145</v>
      </c>
      <c r="D17" s="19" t="s">
        <v>111</v>
      </c>
      <c r="E17" s="19" t="s">
        <v>112</v>
      </c>
      <c r="F17" s="20" t="n">
        <v>24545</v>
      </c>
      <c r="G17" s="20" t="n">
        <v>14</v>
      </c>
      <c r="H17" s="20" t="n">
        <v>740</v>
      </c>
      <c r="I17" s="21" t="n">
        <f aca="false">H17/F17</f>
        <v>0.030148706457527</v>
      </c>
      <c r="J17" s="19" t="str">
        <f aca="false">IF(F17&gt;=Parametros!$C$15,"Grande",IF(F17&gt;=Parametros!$C$16,"Intermedia","Pequeña"))</f>
        <v>Pequeña</v>
      </c>
      <c r="K17" s="22" t="n">
        <f aca="false">IF(J17="Grande",Parametros!$C$12,IF(J17="Intermedia",Parametros!$C$13,Parametros!$C$14))</f>
        <v>500</v>
      </c>
      <c r="L17" s="23" t="n">
        <f aca="false">IF(J17="Grande",Parametros!$C$9,IF(J17="Intermedia",Parametros!$C$10,Parametros!$C$11))</f>
        <v>1.15</v>
      </c>
      <c r="M17" s="24" t="n">
        <f aca="false">Parametros!$C$5*Parametros!$C$6*L17</f>
        <v>690000</v>
      </c>
      <c r="N17" s="24" t="n">
        <f aca="false">K17*M17</f>
        <v>345000000</v>
      </c>
      <c r="O17" s="24" t="n">
        <f aca="false">Parametros!$C$7</f>
        <v>60000</v>
      </c>
      <c r="P17" s="19" t="str">
        <f aca="false">IF(AND(G17&lt;Parametros!$C$17,I17&lt;Parametros!$C$18),"Cumple","No cumple")</f>
        <v>Cumple</v>
      </c>
    </row>
    <row r="18" customFormat="false" ht="15" hidden="false" customHeight="false" outlineLevel="0" collapsed="false">
      <c r="A18" s="19" t="s">
        <v>146</v>
      </c>
      <c r="B18" s="19" t="s">
        <v>147</v>
      </c>
      <c r="C18" s="19" t="s">
        <v>148</v>
      </c>
      <c r="D18" s="19" t="s">
        <v>149</v>
      </c>
      <c r="E18" s="19" t="s">
        <v>112</v>
      </c>
      <c r="F18" s="20" t="n">
        <v>50452</v>
      </c>
      <c r="G18" s="20" t="n">
        <v>229</v>
      </c>
      <c r="H18" s="20" t="n">
        <v>1619</v>
      </c>
      <c r="I18" s="21" t="n">
        <f aca="false">H18/F18</f>
        <v>0.0320899072385634</v>
      </c>
      <c r="J18" s="19" t="str">
        <f aca="false">IF(F18&gt;=Parametros!$C$15,"Grande",IF(F18&gt;=Parametros!$C$16,"Intermedia","Pequeña"))</f>
        <v>Pequeña</v>
      </c>
      <c r="K18" s="22" t="n">
        <f aca="false">IF(J18="Grande",Parametros!$C$12,IF(J18="Intermedia",Parametros!$C$13,Parametros!$C$14))</f>
        <v>500</v>
      </c>
      <c r="L18" s="23" t="n">
        <f aca="false">IF(J18="Grande",Parametros!$C$9,IF(J18="Intermedia",Parametros!$C$10,Parametros!$C$11))</f>
        <v>1.15</v>
      </c>
      <c r="M18" s="24" t="n">
        <f aca="false">Parametros!$C$5*Parametros!$C$6*L18</f>
        <v>690000</v>
      </c>
      <c r="N18" s="24" t="n">
        <f aca="false">K18*M18</f>
        <v>345000000</v>
      </c>
      <c r="O18" s="24" t="n">
        <f aca="false">Parametros!$C$7</f>
        <v>60000</v>
      </c>
      <c r="P18" s="19" t="str">
        <f aca="false">IF(AND(G18&lt;Parametros!$C$17,I18&lt;Parametros!$C$18),"Cumple","No cumple")</f>
        <v>Cumple</v>
      </c>
    </row>
    <row r="19" customFormat="false" ht="15" hidden="false" customHeight="false" outlineLevel="0" collapsed="false">
      <c r="A19" s="19" t="s">
        <v>150</v>
      </c>
      <c r="B19" s="19" t="s">
        <v>151</v>
      </c>
      <c r="C19" s="19" t="s">
        <v>152</v>
      </c>
      <c r="D19" s="19" t="s">
        <v>149</v>
      </c>
      <c r="E19" s="19" t="s">
        <v>112</v>
      </c>
      <c r="F19" s="20" t="n">
        <v>31774</v>
      </c>
      <c r="G19" s="20" t="n">
        <v>15</v>
      </c>
      <c r="H19" s="20" t="n">
        <v>906</v>
      </c>
      <c r="I19" s="21" t="n">
        <f aca="false">H19/F19</f>
        <v>0.0285138792723611</v>
      </c>
      <c r="J19" s="19" t="str">
        <f aca="false">IF(F19&gt;=Parametros!$C$15,"Grande",IF(F19&gt;=Parametros!$C$16,"Intermedia","Pequeña"))</f>
        <v>Pequeña</v>
      </c>
      <c r="K19" s="22" t="n">
        <f aca="false">IF(J19="Grande",Parametros!$C$12,IF(J19="Intermedia",Parametros!$C$13,Parametros!$C$14))</f>
        <v>500</v>
      </c>
      <c r="L19" s="23" t="n">
        <f aca="false">IF(J19="Grande",Parametros!$C$9,IF(J19="Intermedia",Parametros!$C$10,Parametros!$C$11))</f>
        <v>1.15</v>
      </c>
      <c r="M19" s="24" t="n">
        <f aca="false">Parametros!$C$5*Parametros!$C$6*L19</f>
        <v>690000</v>
      </c>
      <c r="N19" s="24" t="n">
        <f aca="false">K19*M19</f>
        <v>345000000</v>
      </c>
      <c r="O19" s="24" t="n">
        <f aca="false">Parametros!$C$7</f>
        <v>60000</v>
      </c>
      <c r="P19" s="19" t="str">
        <f aca="false">IF(AND(G19&lt;Parametros!$C$17,I19&lt;Parametros!$C$18),"Cumple","No cumple")</f>
        <v>Cumple</v>
      </c>
    </row>
    <row r="20" customFormat="false" ht="15" hidden="false" customHeight="false" outlineLevel="0" collapsed="false">
      <c r="A20" s="19" t="s">
        <v>153</v>
      </c>
      <c r="B20" s="19" t="s">
        <v>154</v>
      </c>
      <c r="C20" s="19" t="s">
        <v>155</v>
      </c>
      <c r="D20" s="19" t="s">
        <v>149</v>
      </c>
      <c r="E20" s="19" t="s">
        <v>112</v>
      </c>
      <c r="F20" s="20" t="n">
        <v>22301</v>
      </c>
      <c r="G20" s="20" t="n">
        <v>29</v>
      </c>
      <c r="H20" s="20" t="n">
        <v>1017</v>
      </c>
      <c r="I20" s="21" t="n">
        <f aca="false">H20/F20</f>
        <v>0.0456033361732658</v>
      </c>
      <c r="J20" s="19" t="str">
        <f aca="false">IF(F20&gt;=Parametros!$C$15,"Grande",IF(F20&gt;=Parametros!$C$16,"Intermedia","Pequeña"))</f>
        <v>Pequeña</v>
      </c>
      <c r="K20" s="22" t="n">
        <f aca="false">IF(J20="Grande",Parametros!$C$12,IF(J20="Intermedia",Parametros!$C$13,Parametros!$C$14))</f>
        <v>500</v>
      </c>
      <c r="L20" s="23" t="n">
        <f aca="false">IF(J20="Grande",Parametros!$C$9,IF(J20="Intermedia",Parametros!$C$10,Parametros!$C$11))</f>
        <v>1.15</v>
      </c>
      <c r="M20" s="24" t="n">
        <f aca="false">Parametros!$C$5*Parametros!$C$6*L20</f>
        <v>690000</v>
      </c>
      <c r="N20" s="24" t="n">
        <f aca="false">K20*M20</f>
        <v>345000000</v>
      </c>
      <c r="O20" s="24" t="n">
        <f aca="false">Parametros!$C$7</f>
        <v>60000</v>
      </c>
      <c r="P20" s="19" t="str">
        <f aca="false">IF(AND(G20&lt;Parametros!$C$17,I20&lt;Parametros!$C$18),"Cumple","No cumple")</f>
        <v>Cumple</v>
      </c>
    </row>
    <row r="21" customFormat="false" ht="15" hidden="false" customHeight="false" outlineLevel="0" collapsed="false">
      <c r="A21" s="19" t="s">
        <v>156</v>
      </c>
      <c r="B21" s="19" t="s">
        <v>157</v>
      </c>
      <c r="C21" s="19" t="s">
        <v>158</v>
      </c>
      <c r="D21" s="19" t="s">
        <v>149</v>
      </c>
      <c r="E21" s="19" t="s">
        <v>112</v>
      </c>
      <c r="F21" s="20" t="n">
        <v>20404</v>
      </c>
      <c r="G21" s="20" t="n">
        <v>17</v>
      </c>
      <c r="H21" s="20" t="n">
        <v>689</v>
      </c>
      <c r="I21" s="21" t="n">
        <f aca="false">H21/F21</f>
        <v>0.0337678886492845</v>
      </c>
      <c r="J21" s="19" t="str">
        <f aca="false">IF(F21&gt;=Parametros!$C$15,"Grande",IF(F21&gt;=Parametros!$C$16,"Intermedia","Pequeña"))</f>
        <v>Pequeña</v>
      </c>
      <c r="K21" s="22" t="n">
        <f aca="false">IF(J21="Grande",Parametros!$C$12,IF(J21="Intermedia",Parametros!$C$13,Parametros!$C$14))</f>
        <v>500</v>
      </c>
      <c r="L21" s="23" t="n">
        <f aca="false">IF(J21="Grande",Parametros!$C$9,IF(J21="Intermedia",Parametros!$C$10,Parametros!$C$11))</f>
        <v>1.15</v>
      </c>
      <c r="M21" s="24" t="n">
        <f aca="false">Parametros!$C$5*Parametros!$C$6*L21</f>
        <v>690000</v>
      </c>
      <c r="N21" s="24" t="n">
        <f aca="false">K21*M21</f>
        <v>345000000</v>
      </c>
      <c r="O21" s="24" t="n">
        <f aca="false">Parametros!$C$7</f>
        <v>60000</v>
      </c>
      <c r="P21" s="19" t="str">
        <f aca="false">IF(AND(G21&lt;Parametros!$C$17,I21&lt;Parametros!$C$18),"Cumple","No cumple")</f>
        <v>Cumple</v>
      </c>
    </row>
    <row r="22" customFormat="false" ht="15" hidden="false" customHeight="false" outlineLevel="0" collapsed="false">
      <c r="A22" s="19" t="s">
        <v>159</v>
      </c>
      <c r="B22" s="19" t="s">
        <v>160</v>
      </c>
      <c r="C22" s="19" t="s">
        <v>161</v>
      </c>
      <c r="D22" s="19" t="s">
        <v>149</v>
      </c>
      <c r="E22" s="19" t="s">
        <v>112</v>
      </c>
      <c r="F22" s="20" t="n">
        <v>71480</v>
      </c>
      <c r="G22" s="20" t="n">
        <v>3</v>
      </c>
      <c r="H22" s="20" t="n">
        <v>147</v>
      </c>
      <c r="I22" s="21" t="n">
        <f aca="false">H22/F22</f>
        <v>0.00205651930609961</v>
      </c>
      <c r="J22" s="19" t="str">
        <f aca="false">IF(F22&gt;=Parametros!$C$15,"Grande",IF(F22&gt;=Parametros!$C$16,"Intermedia","Pequeña"))</f>
        <v>Pequeña</v>
      </c>
      <c r="K22" s="22" t="n">
        <f aca="false">IF(J22="Grande",Parametros!$C$12,IF(J22="Intermedia",Parametros!$C$13,Parametros!$C$14))</f>
        <v>500</v>
      </c>
      <c r="L22" s="23" t="n">
        <f aca="false">IF(J22="Grande",Parametros!$C$9,IF(J22="Intermedia",Parametros!$C$10,Parametros!$C$11))</f>
        <v>1.15</v>
      </c>
      <c r="M22" s="24" t="n">
        <f aca="false">Parametros!$C$5*Parametros!$C$6*L22</f>
        <v>690000</v>
      </c>
      <c r="N22" s="24" t="n">
        <f aca="false">K22*M22</f>
        <v>345000000</v>
      </c>
      <c r="O22" s="24" t="n">
        <f aca="false">Parametros!$C$7</f>
        <v>60000</v>
      </c>
      <c r="P22" s="19" t="str">
        <f aca="false">IF(AND(G22&lt;Parametros!$C$17,I22&lt;Parametros!$C$18),"Cumple","No cumple")</f>
        <v>Cumple</v>
      </c>
    </row>
    <row r="24" customFormat="false" ht="15" hidden="false" customHeight="false" outlineLevel="0" collapsed="false">
      <c r="A24" s="25" t="s">
        <v>162</v>
      </c>
    </row>
    <row r="25" customFormat="false" ht="15" hidden="false" customHeight="false" outlineLevel="0" collapsed="false">
      <c r="A25" s="19" t="s">
        <v>163</v>
      </c>
      <c r="B25" s="19" t="s">
        <v>164</v>
      </c>
      <c r="C25" s="19" t="s">
        <v>165</v>
      </c>
      <c r="D25" s="19" t="s">
        <v>166</v>
      </c>
      <c r="E25" s="19" t="s">
        <v>167</v>
      </c>
      <c r="F25" s="20" t="n">
        <v>33758</v>
      </c>
      <c r="G25" s="20" t="n">
        <v>95</v>
      </c>
      <c r="H25" s="20" t="n">
        <v>2773</v>
      </c>
      <c r="I25" s="21" t="n">
        <f aca="false">H25/F25</f>
        <v>0.082143491913028</v>
      </c>
      <c r="J25" s="19" t="str">
        <f aca="false">IF(F25&gt;=Parametros!$C$15,"Grande",IF(F25&gt;=Parametros!$C$16,"Intermedia","Pequeña"))</f>
        <v>Pequeña</v>
      </c>
      <c r="K25" s="22" t="n">
        <f aca="false">IF(J25="Grande",Parametros!$C$12,IF(J25="Intermedia",Parametros!$C$13,Parametros!$C$14))</f>
        <v>500</v>
      </c>
      <c r="L25" s="23" t="n">
        <f aca="false">IF(J25="Grande",Parametros!$C$9,IF(J25="Intermedia",Parametros!$C$10,Parametros!$C$11))</f>
        <v>1.15</v>
      </c>
      <c r="M25" s="24" t="n">
        <f aca="false">Parametros!$C$5*Parametros!$C$6*L25</f>
        <v>690000</v>
      </c>
      <c r="N25" s="24" t="n">
        <f aca="false">K25*M25</f>
        <v>345000000</v>
      </c>
      <c r="O25" s="24" t="n">
        <f aca="false">Parametros!$C$7</f>
        <v>60000</v>
      </c>
      <c r="P25" s="19" t="str">
        <f aca="false">IF(AND(G25&lt;Parametros!$C$17,I25&lt;Parametros!$C$18),"Cumple","No cumple")</f>
        <v>No cumple</v>
      </c>
    </row>
    <row r="27" customFormat="false" ht="15" hidden="false" customHeight="false" outlineLevel="0" collapsed="false">
      <c r="A27" s="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20"/>
  </cols>
  <sheetData>
    <row r="1" customFormat="false" ht="16.15" hidden="false" customHeight="false" outlineLevel="0" collapsed="false">
      <c r="A1" s="1" t="s">
        <v>169</v>
      </c>
    </row>
    <row r="3" customFormat="false" ht="15" hidden="false" customHeight="false" outlineLevel="0" collapsed="false">
      <c r="A3" s="19" t="s">
        <v>170</v>
      </c>
      <c r="B3" s="24" t="n">
        <f aca="false">SUMPRODUCT(LARGE(Candidatos!$N$6:$N$22,{1,2,3,4,5,6,7,8,9,10}))</f>
        <v>7095000000</v>
      </c>
      <c r="C3" s="26" t="s">
        <v>92</v>
      </c>
    </row>
    <row r="4" customFormat="false" ht="15" hidden="false" customHeight="false" outlineLevel="0" collapsed="false">
      <c r="A4" s="19" t="s">
        <v>171</v>
      </c>
      <c r="B4" s="27" t="n">
        <f aca="false">Parametros!$C$21</f>
        <v>0.5</v>
      </c>
      <c r="C4" s="28" t="s">
        <v>24</v>
      </c>
    </row>
    <row r="5" customFormat="false" ht="15" hidden="false" customHeight="false" outlineLevel="0" collapsed="false">
      <c r="A5" s="19" t="s">
        <v>172</v>
      </c>
      <c r="B5" s="24" t="n">
        <f aca="false">B3*B4</f>
        <v>3547500000</v>
      </c>
      <c r="C5" s="26" t="s">
        <v>92</v>
      </c>
    </row>
    <row r="6" customFormat="false" ht="15" hidden="false" customHeight="false" outlineLevel="0" collapsed="false">
      <c r="A6" s="19" t="s">
        <v>173</v>
      </c>
      <c r="B6" s="24" t="n">
        <f aca="false">B5*(1-Parametros!$C$22)</f>
        <v>3015375000</v>
      </c>
      <c r="C6" s="26" t="s">
        <v>92</v>
      </c>
    </row>
    <row r="7" customFormat="false" ht="15" hidden="false" customHeight="false" outlineLevel="0" collapsed="false">
      <c r="A7" s="19" t="s">
        <v>174</v>
      </c>
      <c r="B7" s="24" t="n">
        <f aca="false">B5*(1-Parametros!$C$23)</f>
        <v>2483250000</v>
      </c>
      <c r="C7" s="26" t="s">
        <v>92</v>
      </c>
    </row>
    <row r="8" customFormat="false" ht="15" hidden="false" customHeight="false" outlineLevel="0" collapsed="false">
      <c r="A8" s="19" t="s">
        <v>175</v>
      </c>
      <c r="B8" s="24" t="n">
        <f aca="false">SUM(Candidatos!$N$6:$N$22)</f>
        <v>9510000000</v>
      </c>
      <c r="C8" s="26" t="s">
        <v>92</v>
      </c>
    </row>
    <row r="9" customFormat="false" ht="15" hidden="false" customHeight="false" outlineLevel="0" collapsed="false">
      <c r="A9" s="19" t="s">
        <v>176</v>
      </c>
      <c r="B9" s="22" t="n">
        <f aca="false">SUM(Candidatos!$K$6:$K$22)</f>
        <v>16000</v>
      </c>
      <c r="C9" s="26" t="s">
        <v>92</v>
      </c>
    </row>
    <row r="10" customFormat="false" ht="15" hidden="false" customHeight="false" outlineLevel="0" collapsed="false">
      <c r="A10" s="19" t="s">
        <v>177</v>
      </c>
      <c r="B10" s="21" t="n">
        <f aca="false">B5/B8</f>
        <v>0.373028391167192</v>
      </c>
      <c r="C10" s="26" t="s">
        <v>92</v>
      </c>
    </row>
    <row r="13" customFormat="false" ht="15" hidden="false" customHeight="false" outlineLevel="0" collapsed="false">
      <c r="A13" s="25" t="s">
        <v>178</v>
      </c>
    </row>
    <row r="14" customFormat="false" ht="30" hidden="false" customHeight="true" outlineLevel="0" collapsed="false">
      <c r="A14" s="29" t="s">
        <v>179</v>
      </c>
      <c r="B14" s="29" t="s">
        <v>180</v>
      </c>
      <c r="C14" s="29" t="s">
        <v>181</v>
      </c>
      <c r="D14" s="29" t="s">
        <v>182</v>
      </c>
      <c r="E14" s="29" t="s">
        <v>172</v>
      </c>
      <c r="F14" s="29" t="s">
        <v>183</v>
      </c>
      <c r="G14" s="29" t="s">
        <v>184</v>
      </c>
    </row>
    <row r="15" customFormat="false" ht="15" hidden="false" customHeight="false" outlineLevel="0" collapsed="false">
      <c r="A15" s="20" t="n">
        <v>100000</v>
      </c>
      <c r="B15" s="24" t="n">
        <f aca="false">Parametros!$C$12*A15*Parametros!$C$6*Parametros!$C$9</f>
        <v>765000000</v>
      </c>
      <c r="C15" s="24" t="n">
        <f aca="false">Parametros!$C$13*A15*Parametros!$C$6*Parametros!$C$10</f>
        <v>300000000</v>
      </c>
      <c r="D15" s="24" t="n">
        <f aca="false">Parametros!$C$14*A15*Parametros!$C$6*Parametros!$C$11</f>
        <v>172500000</v>
      </c>
      <c r="E15" s="24" t="n">
        <f aca="false">$B$5*A15/Parametros!$C$5</f>
        <v>1773750000</v>
      </c>
      <c r="F15" s="24" t="n">
        <f aca="false">E15*(1-Parametros!$C$22)</f>
        <v>1507687500</v>
      </c>
      <c r="G15" s="24" t="n">
        <f aca="false">E15*(1-Parametros!$C$23)</f>
        <v>1241625000</v>
      </c>
    </row>
    <row r="16" customFormat="false" ht="15" hidden="false" customHeight="false" outlineLevel="0" collapsed="false">
      <c r="A16" s="20" t="n">
        <v>150000</v>
      </c>
      <c r="B16" s="24" t="n">
        <f aca="false">Parametros!$C$12*A16*Parametros!$C$6*Parametros!$C$9</f>
        <v>1147500000</v>
      </c>
      <c r="C16" s="24" t="n">
        <f aca="false">Parametros!$C$13*A16*Parametros!$C$6*Parametros!$C$10</f>
        <v>450000000</v>
      </c>
      <c r="D16" s="24" t="n">
        <f aca="false">Parametros!$C$14*A16*Parametros!$C$6*Parametros!$C$11</f>
        <v>258750000</v>
      </c>
      <c r="E16" s="24" t="n">
        <f aca="false">$B$5*A16/Parametros!$C$5</f>
        <v>2660625000</v>
      </c>
      <c r="F16" s="24" t="n">
        <f aca="false">E16*(1-Parametros!$C$22)</f>
        <v>2261531250</v>
      </c>
      <c r="G16" s="24" t="n">
        <f aca="false">E16*(1-Parametros!$C$23)</f>
        <v>1862437500</v>
      </c>
    </row>
    <row r="17" customFormat="false" ht="15" hidden="false" customHeight="false" outlineLevel="0" collapsed="false">
      <c r="A17" s="20" t="n">
        <v>200000</v>
      </c>
      <c r="B17" s="24" t="n">
        <f aca="false">Parametros!$C$12*A17*Parametros!$C$6*Parametros!$C$9</f>
        <v>1530000000</v>
      </c>
      <c r="C17" s="24" t="n">
        <f aca="false">Parametros!$C$13*A17*Parametros!$C$6*Parametros!$C$10</f>
        <v>600000000</v>
      </c>
      <c r="D17" s="24" t="n">
        <f aca="false">Parametros!$C$14*A17*Parametros!$C$6*Parametros!$C$11</f>
        <v>345000000</v>
      </c>
      <c r="E17" s="24" t="n">
        <f aca="false">$B$5*A17/Parametros!$C$5</f>
        <v>3547500000</v>
      </c>
      <c r="F17" s="24" t="n">
        <f aca="false">E17*(1-Parametros!$C$22)</f>
        <v>3015375000</v>
      </c>
      <c r="G17" s="24" t="n">
        <f aca="false">E17*(1-Parametros!$C$23)</f>
        <v>2483250000</v>
      </c>
    </row>
    <row r="18" customFormat="false" ht="15" hidden="false" customHeight="false" outlineLevel="0" collapsed="false">
      <c r="A18" s="20" t="n">
        <v>250000</v>
      </c>
      <c r="B18" s="24" t="n">
        <f aca="false">Parametros!$C$12*A18*Parametros!$C$6*Parametros!$C$9</f>
        <v>1912500000</v>
      </c>
      <c r="C18" s="24" t="n">
        <f aca="false">Parametros!$C$13*A18*Parametros!$C$6*Parametros!$C$10</f>
        <v>750000000</v>
      </c>
      <c r="D18" s="24" t="n">
        <f aca="false">Parametros!$C$14*A18*Parametros!$C$6*Parametros!$C$11</f>
        <v>431250000</v>
      </c>
      <c r="E18" s="24" t="n">
        <f aca="false">$B$5*A18/Parametros!$C$5</f>
        <v>4434375000</v>
      </c>
      <c r="F18" s="24" t="n">
        <f aca="false">E18*(1-Parametros!$C$22)</f>
        <v>3769218750</v>
      </c>
      <c r="G18" s="24" t="n">
        <f aca="false">E18*(1-Parametros!$C$23)</f>
        <v>3104062500</v>
      </c>
    </row>
    <row r="19" customFormat="false" ht="15" hidden="false" customHeight="false" outlineLevel="0" collapsed="false">
      <c r="A19" s="20" t="n">
        <v>300000</v>
      </c>
      <c r="B19" s="24" t="n">
        <f aca="false">Parametros!$C$12*A19*Parametros!$C$6*Parametros!$C$9</f>
        <v>2295000000</v>
      </c>
      <c r="C19" s="24" t="n">
        <f aca="false">Parametros!$C$13*A19*Parametros!$C$6*Parametros!$C$10</f>
        <v>900000000</v>
      </c>
      <c r="D19" s="24" t="n">
        <f aca="false">Parametros!$C$14*A19*Parametros!$C$6*Parametros!$C$11</f>
        <v>517500000</v>
      </c>
      <c r="E19" s="24" t="n">
        <f aca="false">$B$5*A19/Parametros!$C$5</f>
        <v>5321250000</v>
      </c>
      <c r="F19" s="24" t="n">
        <f aca="false">E19*(1-Parametros!$C$22)</f>
        <v>4523062500</v>
      </c>
      <c r="G19" s="24" t="n">
        <f aca="false">E19*(1-Parametros!$C$23)</f>
        <v>3724875000</v>
      </c>
    </row>
    <row r="20" customFormat="false" ht="15" hidden="false" customHeight="false" outlineLevel="0" collapsed="false">
      <c r="A20" s="20" t="n">
        <v>400000</v>
      </c>
      <c r="B20" s="24" t="n">
        <f aca="false">Parametros!$C$12*A20*Parametros!$C$6*Parametros!$C$9</f>
        <v>3060000000</v>
      </c>
      <c r="C20" s="24" t="n">
        <f aca="false">Parametros!$C$13*A20*Parametros!$C$6*Parametros!$C$10</f>
        <v>1200000000</v>
      </c>
      <c r="D20" s="24" t="n">
        <f aca="false">Parametros!$C$14*A20*Parametros!$C$6*Parametros!$C$11</f>
        <v>690000000</v>
      </c>
      <c r="E20" s="24" t="n">
        <f aca="false">$B$5*A20/Parametros!$C$5</f>
        <v>7095000000</v>
      </c>
      <c r="F20" s="24" t="n">
        <f aca="false">E20*(1-Parametros!$C$22)</f>
        <v>6030750000</v>
      </c>
      <c r="G20" s="24" t="n">
        <f aca="false">E20*(1-Parametros!$C$23)</f>
        <v>4966500000</v>
      </c>
    </row>
    <row r="22" customFormat="false" ht="15" hidden="false" customHeight="false" outlineLevel="0" collapsed="false">
      <c r="A22" s="2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0"/>
  </cols>
  <sheetData>
    <row r="1" customFormat="false" ht="16.15" hidden="false" customHeight="false" outlineLevel="0" collapsed="false">
      <c r="A1" s="1" t="s">
        <v>186</v>
      </c>
    </row>
    <row r="3" customFormat="false" ht="15" hidden="false" customHeight="false" outlineLevel="0" collapsed="false">
      <c r="A3" s="15" t="s">
        <v>91</v>
      </c>
      <c r="B3" s="15" t="s">
        <v>91</v>
      </c>
      <c r="C3" s="15" t="s">
        <v>91</v>
      </c>
      <c r="D3" s="17" t="s">
        <v>24</v>
      </c>
      <c r="E3" s="17" t="s">
        <v>24</v>
      </c>
      <c r="F3" s="17" t="s">
        <v>24</v>
      </c>
      <c r="G3" s="17" t="s">
        <v>24</v>
      </c>
      <c r="H3" s="18" t="s">
        <v>92</v>
      </c>
      <c r="I3" s="18" t="s">
        <v>92</v>
      </c>
      <c r="J3" s="18" t="s">
        <v>92</v>
      </c>
      <c r="K3" s="18" t="s">
        <v>92</v>
      </c>
      <c r="L3" s="18" t="s">
        <v>92</v>
      </c>
      <c r="M3" s="18" t="s">
        <v>92</v>
      </c>
      <c r="N3" s="18" t="s">
        <v>92</v>
      </c>
      <c r="O3" s="18" t="s">
        <v>92</v>
      </c>
      <c r="P3" s="17" t="s">
        <v>24</v>
      </c>
    </row>
    <row r="4" customFormat="false" ht="42" hidden="false" customHeight="true" outlineLevel="0" collapsed="false">
      <c r="A4" s="3" t="s">
        <v>93</v>
      </c>
      <c r="B4" s="3" t="s">
        <v>94</v>
      </c>
      <c r="C4" s="3" t="s">
        <v>95</v>
      </c>
      <c r="D4" s="3" t="s">
        <v>97</v>
      </c>
      <c r="E4" s="3" t="s">
        <v>98</v>
      </c>
      <c r="F4" s="3" t="s">
        <v>187</v>
      </c>
      <c r="G4" s="3" t="s">
        <v>99</v>
      </c>
      <c r="H4" s="3" t="s">
        <v>188</v>
      </c>
      <c r="I4" s="3" t="s">
        <v>189</v>
      </c>
      <c r="J4" s="3" t="s">
        <v>190</v>
      </c>
      <c r="K4" s="3" t="s">
        <v>191</v>
      </c>
      <c r="L4" s="3" t="s">
        <v>192</v>
      </c>
      <c r="M4" s="3" t="s">
        <v>193</v>
      </c>
      <c r="N4" s="3" t="s">
        <v>194</v>
      </c>
      <c r="O4" s="3" t="s">
        <v>100</v>
      </c>
      <c r="P4" s="3" t="s">
        <v>195</v>
      </c>
    </row>
    <row r="5" customFormat="false" ht="15" hidden="false" customHeight="false" outlineLevel="0" collapsed="false">
      <c r="A5" s="19" t="s">
        <v>196</v>
      </c>
      <c r="B5" s="19" t="s">
        <v>197</v>
      </c>
      <c r="C5" s="19" t="s">
        <v>198</v>
      </c>
      <c r="D5" s="20" t="n">
        <v>487820</v>
      </c>
      <c r="E5" s="20" t="n">
        <v>23873</v>
      </c>
      <c r="F5" s="20" t="n">
        <v>47211</v>
      </c>
      <c r="G5" s="20" t="n">
        <v>110882</v>
      </c>
      <c r="H5" s="23" t="n">
        <f aca="false">G5/F5</f>
        <v>2.34864756094978</v>
      </c>
      <c r="I5" s="22" t="n">
        <f aca="false">E5*H5</f>
        <v>56069.2632225541</v>
      </c>
      <c r="J5" s="22" t="n">
        <f aca="false">ROUND(I5*Parametros!$C$25,0)</f>
        <v>1121</v>
      </c>
      <c r="K5" s="22" t="n">
        <f aca="false">ROUND(I5*Parametros!$C$26,0)</f>
        <v>2803</v>
      </c>
      <c r="L5" s="22" t="n">
        <f aca="false">ROUND(I5*Parametros!$C$24,0)</f>
        <v>5607</v>
      </c>
      <c r="M5" s="22" t="n">
        <f aca="false">ROUND(I5*Parametros!$C$27,0)</f>
        <v>7289</v>
      </c>
      <c r="N5" s="22" t="n">
        <f aca="false">ROUND(E5*Parametros!$C$28*Parametros!$C$24,0)</f>
        <v>7162</v>
      </c>
      <c r="O5" s="21" t="n">
        <f aca="false">G5/D5</f>
        <v>0.227301053667336</v>
      </c>
      <c r="P5" s="19" t="s">
        <v>199</v>
      </c>
    </row>
    <row r="6" customFormat="false" ht="15" hidden="false" customHeight="false" outlineLevel="0" collapsed="false">
      <c r="A6" s="19" t="s">
        <v>200</v>
      </c>
      <c r="B6" s="19" t="s">
        <v>201</v>
      </c>
      <c r="C6" s="19" t="s">
        <v>111</v>
      </c>
      <c r="D6" s="20" t="n">
        <v>2269983</v>
      </c>
      <c r="E6" s="20" t="n">
        <v>21309</v>
      </c>
      <c r="F6" s="20" t="n">
        <v>45138</v>
      </c>
      <c r="G6" s="20" t="n">
        <v>97337</v>
      </c>
      <c r="H6" s="23" t="n">
        <f aca="false">G6/F6</f>
        <v>2.15643138818734</v>
      </c>
      <c r="I6" s="22" t="n">
        <f aca="false">E6*H6</f>
        <v>45951.396450884</v>
      </c>
      <c r="J6" s="22" t="n">
        <f aca="false">ROUND(I6*Parametros!$C$25,0)</f>
        <v>919</v>
      </c>
      <c r="K6" s="22" t="n">
        <f aca="false">ROUND(I6*Parametros!$C$26,0)</f>
        <v>2298</v>
      </c>
      <c r="L6" s="22" t="n">
        <f aca="false">ROUND(I6*Parametros!$C$24,0)</f>
        <v>4595</v>
      </c>
      <c r="M6" s="22" t="n">
        <f aca="false">ROUND(I6*Parametros!$C$27,0)</f>
        <v>5974</v>
      </c>
      <c r="N6" s="22" t="n">
        <f aca="false">ROUND(E6*Parametros!$C$28*Parametros!$C$24,0)</f>
        <v>6393</v>
      </c>
      <c r="O6" s="21" t="n">
        <f aca="false">G6/D6</f>
        <v>0.0428800568109981</v>
      </c>
      <c r="P6" s="19" t="s">
        <v>199</v>
      </c>
    </row>
    <row r="7" customFormat="false" ht="15" hidden="false" customHeight="false" outlineLevel="0" collapsed="false">
      <c r="A7" s="19" t="s">
        <v>202</v>
      </c>
      <c r="B7" s="19" t="s">
        <v>203</v>
      </c>
      <c r="C7" s="19" t="s">
        <v>111</v>
      </c>
      <c r="D7" s="20" t="n">
        <v>335217</v>
      </c>
      <c r="E7" s="20" t="n">
        <v>9557</v>
      </c>
      <c r="F7" s="20" t="n">
        <v>31654</v>
      </c>
      <c r="G7" s="20" t="n">
        <v>67590</v>
      </c>
      <c r="H7" s="23" t="n">
        <f aca="false">G7/F7</f>
        <v>2.13527516269666</v>
      </c>
      <c r="I7" s="22" t="n">
        <f aca="false">E7*H7</f>
        <v>20406.824729892</v>
      </c>
      <c r="J7" s="22" t="n">
        <f aca="false">ROUND(I7*Parametros!$C$25,0)</f>
        <v>408</v>
      </c>
      <c r="K7" s="22" t="n">
        <f aca="false">ROUND(I7*Parametros!$C$26,0)</f>
        <v>1020</v>
      </c>
      <c r="L7" s="22" t="n">
        <f aca="false">ROUND(I7*Parametros!$C$24,0)</f>
        <v>2041</v>
      </c>
      <c r="M7" s="22" t="n">
        <f aca="false">ROUND(I7*Parametros!$C$27,0)</f>
        <v>2653</v>
      </c>
      <c r="N7" s="22" t="n">
        <f aca="false">ROUND(E7*Parametros!$C$28*Parametros!$C$24,0)</f>
        <v>2867</v>
      </c>
      <c r="O7" s="21" t="n">
        <f aca="false">G7/D7</f>
        <v>0.201630585560995</v>
      </c>
      <c r="P7" s="19" t="s">
        <v>199</v>
      </c>
    </row>
    <row r="8" customFormat="false" ht="15" hidden="false" customHeight="false" outlineLevel="0" collapsed="false">
      <c r="A8" s="19" t="s">
        <v>204</v>
      </c>
      <c r="B8" s="19" t="s">
        <v>205</v>
      </c>
      <c r="C8" s="19" t="s">
        <v>166</v>
      </c>
      <c r="D8" s="20" t="n">
        <v>307103</v>
      </c>
      <c r="E8" s="20" t="n">
        <v>7270</v>
      </c>
      <c r="F8" s="20" t="n">
        <v>21935</v>
      </c>
      <c r="G8" s="20" t="n">
        <v>41197</v>
      </c>
      <c r="H8" s="23" t="n">
        <f aca="false">G8/F8</f>
        <v>1.87813995896968</v>
      </c>
      <c r="I8" s="22" t="n">
        <f aca="false">E8*H8</f>
        <v>13654.0775017096</v>
      </c>
      <c r="J8" s="22" t="n">
        <f aca="false">ROUND(I8*Parametros!$C$25,0)</f>
        <v>273</v>
      </c>
      <c r="K8" s="22" t="n">
        <f aca="false">ROUND(I8*Parametros!$C$26,0)</f>
        <v>683</v>
      </c>
      <c r="L8" s="22" t="n">
        <f aca="false">ROUND(I8*Parametros!$C$24,0)</f>
        <v>1365</v>
      </c>
      <c r="M8" s="22" t="n">
        <f aca="false">ROUND(I8*Parametros!$C$27,0)</f>
        <v>1775</v>
      </c>
      <c r="N8" s="22" t="n">
        <f aca="false">ROUND(E8*Parametros!$C$28*Parametros!$C$24,0)</f>
        <v>2181</v>
      </c>
      <c r="O8" s="21" t="n">
        <f aca="false">G8/D8</f>
        <v>0.134147175377642</v>
      </c>
      <c r="P8" s="19" t="s">
        <v>199</v>
      </c>
    </row>
    <row r="9" customFormat="false" ht="15" hidden="false" customHeight="false" outlineLevel="0" collapsed="false">
      <c r="A9" s="19" t="s">
        <v>206</v>
      </c>
      <c r="B9" s="19" t="s">
        <v>207</v>
      </c>
      <c r="C9" s="19" t="s">
        <v>198</v>
      </c>
      <c r="D9" s="20" t="n">
        <v>246388</v>
      </c>
      <c r="E9" s="20" t="n">
        <v>4179</v>
      </c>
      <c r="F9" s="20" t="n">
        <v>8116</v>
      </c>
      <c r="G9" s="20" t="n">
        <v>17742</v>
      </c>
      <c r="H9" s="23" t="n">
        <f aca="false">G9/F9</f>
        <v>2.18605224248398</v>
      </c>
      <c r="I9" s="22" t="n">
        <f aca="false">E9*H9</f>
        <v>9135.51232134056</v>
      </c>
      <c r="J9" s="22" t="n">
        <f aca="false">ROUND(I9*Parametros!$C$25,0)</f>
        <v>183</v>
      </c>
      <c r="K9" s="22" t="n">
        <f aca="false">ROUND(I9*Parametros!$C$26,0)</f>
        <v>457</v>
      </c>
      <c r="L9" s="22" t="n">
        <f aca="false">ROUND(I9*Parametros!$C$24,0)</f>
        <v>914</v>
      </c>
      <c r="M9" s="22" t="n">
        <f aca="false">ROUND(I9*Parametros!$C$27,0)</f>
        <v>1188</v>
      </c>
      <c r="N9" s="22" t="n">
        <f aca="false">ROUND(E9*Parametros!$C$28*Parametros!$C$24,0)</f>
        <v>1254</v>
      </c>
      <c r="O9" s="21" t="n">
        <f aca="false">G9/D9</f>
        <v>0.0720083770313489</v>
      </c>
      <c r="P9" s="19" t="s">
        <v>199</v>
      </c>
    </row>
    <row r="10" customFormat="false" ht="15" hidden="false" customHeight="false" outlineLevel="0" collapsed="false">
      <c r="A10" s="19" t="s">
        <v>208</v>
      </c>
      <c r="B10" s="19" t="s">
        <v>209</v>
      </c>
      <c r="C10" s="19" t="s">
        <v>149</v>
      </c>
      <c r="D10" s="20" t="n">
        <v>475690</v>
      </c>
      <c r="E10" s="20" t="n">
        <v>4590</v>
      </c>
      <c r="F10" s="20" t="n">
        <v>9125</v>
      </c>
      <c r="G10" s="20" t="n">
        <v>14359</v>
      </c>
      <c r="H10" s="23" t="n">
        <f aca="false">G10/F10</f>
        <v>1.57358904109589</v>
      </c>
      <c r="I10" s="22" t="n">
        <f aca="false">E10*H10</f>
        <v>7222.77369863014</v>
      </c>
      <c r="J10" s="22" t="n">
        <f aca="false">ROUND(I10*Parametros!$C$25,0)</f>
        <v>144</v>
      </c>
      <c r="K10" s="22" t="n">
        <f aca="false">ROUND(I10*Parametros!$C$26,0)</f>
        <v>361</v>
      </c>
      <c r="L10" s="22" t="n">
        <f aca="false">ROUND(I10*Parametros!$C$24,0)</f>
        <v>722</v>
      </c>
      <c r="M10" s="22" t="n">
        <f aca="false">ROUND(I10*Parametros!$C$27,0)</f>
        <v>939</v>
      </c>
      <c r="N10" s="22" t="n">
        <f aca="false">ROUND(E10*Parametros!$C$28*Parametros!$C$24,0)</f>
        <v>1377</v>
      </c>
      <c r="O10" s="21" t="n">
        <f aca="false">G10/D10</f>
        <v>0.0301856250919717</v>
      </c>
      <c r="P10" s="19" t="s">
        <v>199</v>
      </c>
    </row>
    <row r="11" customFormat="false" ht="15" hidden="false" customHeight="false" outlineLevel="0" collapsed="false">
      <c r="A11" s="19" t="s">
        <v>210</v>
      </c>
      <c r="B11" s="19" t="s">
        <v>211</v>
      </c>
      <c r="C11" s="19" t="s">
        <v>198</v>
      </c>
      <c r="D11" s="20" t="n">
        <v>84054</v>
      </c>
      <c r="E11" s="20" t="n">
        <v>1904</v>
      </c>
      <c r="F11" s="20" t="n">
        <v>5202</v>
      </c>
      <c r="G11" s="20" t="n">
        <v>11899</v>
      </c>
      <c r="H11" s="23" t="n">
        <f aca="false">G11/F11</f>
        <v>2.28738946559016</v>
      </c>
      <c r="I11" s="22" t="n">
        <f aca="false">E11*H11</f>
        <v>4355.18954248366</v>
      </c>
      <c r="J11" s="22" t="n">
        <f aca="false">ROUND(I11*Parametros!$C$25,0)</f>
        <v>87</v>
      </c>
      <c r="K11" s="22" t="n">
        <f aca="false">ROUND(I11*Parametros!$C$26,0)</f>
        <v>218</v>
      </c>
      <c r="L11" s="22" t="n">
        <f aca="false">ROUND(I11*Parametros!$C$24,0)</f>
        <v>436</v>
      </c>
      <c r="M11" s="22" t="n">
        <f aca="false">ROUND(I11*Parametros!$C$27,0)</f>
        <v>566</v>
      </c>
      <c r="N11" s="22" t="n">
        <f aca="false">ROUND(E11*Parametros!$C$28*Parametros!$C$24,0)</f>
        <v>571</v>
      </c>
      <c r="O11" s="21" t="n">
        <f aca="false">G11/D11</f>
        <v>0.141563756632641</v>
      </c>
      <c r="P11" s="19" t="s">
        <v>212</v>
      </c>
    </row>
    <row r="12" customFormat="false" ht="15" hidden="false" customHeight="false" outlineLevel="0" collapsed="false">
      <c r="A12" s="19" t="s">
        <v>213</v>
      </c>
      <c r="B12" s="19" t="s">
        <v>214</v>
      </c>
      <c r="C12" s="19" t="s">
        <v>166</v>
      </c>
      <c r="D12" s="20" t="n">
        <v>31350</v>
      </c>
      <c r="E12" s="20" t="n">
        <v>1683</v>
      </c>
      <c r="F12" s="20" t="n">
        <v>5728</v>
      </c>
      <c r="G12" s="20" t="n">
        <v>12739</v>
      </c>
      <c r="H12" s="23" t="n">
        <f aca="false">G12/F12</f>
        <v>2.2239874301676</v>
      </c>
      <c r="I12" s="22" t="n">
        <f aca="false">E12*H12</f>
        <v>3742.97084497207</v>
      </c>
      <c r="J12" s="22" t="n">
        <f aca="false">ROUND(I12*Parametros!$C$25,0)</f>
        <v>75</v>
      </c>
      <c r="K12" s="22" t="n">
        <f aca="false">ROUND(I12*Parametros!$C$26,0)</f>
        <v>187</v>
      </c>
      <c r="L12" s="22" t="n">
        <f aca="false">ROUND(I12*Parametros!$C$24,0)</f>
        <v>374</v>
      </c>
      <c r="M12" s="22" t="n">
        <f aca="false">ROUND(I12*Parametros!$C$27,0)</f>
        <v>487</v>
      </c>
      <c r="N12" s="22" t="n">
        <f aca="false">ROUND(E12*Parametros!$C$28*Parametros!$C$24,0)</f>
        <v>505</v>
      </c>
      <c r="O12" s="21" t="n">
        <f aca="false">G12/D12</f>
        <v>0.406347687400319</v>
      </c>
      <c r="P12" s="19" t="s">
        <v>199</v>
      </c>
    </row>
    <row r="13" customFormat="false" ht="15" hidden="false" customHeight="false" outlineLevel="0" collapsed="false">
      <c r="A13" s="19" t="s">
        <v>215</v>
      </c>
      <c r="B13" s="19" t="s">
        <v>216</v>
      </c>
      <c r="C13" s="19" t="s">
        <v>111</v>
      </c>
      <c r="D13" s="20" t="n">
        <v>60038</v>
      </c>
      <c r="E13" s="20" t="n">
        <v>1635</v>
      </c>
      <c r="F13" s="20" t="n">
        <v>5272</v>
      </c>
      <c r="G13" s="20" t="n">
        <v>11355</v>
      </c>
      <c r="H13" s="23" t="n">
        <f aca="false">G13/F13</f>
        <v>2.1538315629742</v>
      </c>
      <c r="I13" s="22" t="n">
        <f aca="false">E13*H13</f>
        <v>3521.51460546282</v>
      </c>
      <c r="J13" s="22" t="n">
        <f aca="false">ROUND(I13*Parametros!$C$25,0)</f>
        <v>70</v>
      </c>
      <c r="K13" s="22" t="n">
        <f aca="false">ROUND(I13*Parametros!$C$26,0)</f>
        <v>176</v>
      </c>
      <c r="L13" s="22" t="n">
        <f aca="false">ROUND(I13*Parametros!$C$24,0)</f>
        <v>352</v>
      </c>
      <c r="M13" s="22" t="n">
        <f aca="false">ROUND(I13*Parametros!$C$27,0)</f>
        <v>458</v>
      </c>
      <c r="N13" s="22" t="n">
        <f aca="false">ROUND(E13*Parametros!$C$28*Parametros!$C$24,0)</f>
        <v>491</v>
      </c>
      <c r="O13" s="21" t="n">
        <f aca="false">G13/D13</f>
        <v>0.189130217528898</v>
      </c>
      <c r="P13" s="19" t="s">
        <v>217</v>
      </c>
    </row>
    <row r="14" customFormat="false" ht="15" hidden="false" customHeight="false" outlineLevel="0" collapsed="false">
      <c r="A14" s="19" t="s">
        <v>218</v>
      </c>
      <c r="B14" s="19" t="s">
        <v>219</v>
      </c>
      <c r="C14" s="19" t="s">
        <v>166</v>
      </c>
      <c r="D14" s="20" t="n">
        <v>37483</v>
      </c>
      <c r="E14" s="20" t="n">
        <v>1048</v>
      </c>
      <c r="F14" s="20" t="n">
        <v>5423</v>
      </c>
      <c r="G14" s="20" t="n">
        <v>12407</v>
      </c>
      <c r="H14" s="23" t="n">
        <f aca="false">G14/F14</f>
        <v>2.28784805458233</v>
      </c>
      <c r="I14" s="22" t="n">
        <f aca="false">E14*H14</f>
        <v>2397.66476120229</v>
      </c>
      <c r="J14" s="22" t="n">
        <f aca="false">ROUND(I14*Parametros!$C$25,0)</f>
        <v>48</v>
      </c>
      <c r="K14" s="22" t="n">
        <f aca="false">ROUND(I14*Parametros!$C$26,0)</f>
        <v>120</v>
      </c>
      <c r="L14" s="22" t="n">
        <f aca="false">ROUND(I14*Parametros!$C$24,0)</f>
        <v>240</v>
      </c>
      <c r="M14" s="22" t="n">
        <f aca="false">ROUND(I14*Parametros!$C$27,0)</f>
        <v>312</v>
      </c>
      <c r="N14" s="22" t="n">
        <f aca="false">ROUND(E14*Parametros!$C$28*Parametros!$C$24,0)</f>
        <v>314</v>
      </c>
      <c r="O14" s="21" t="n">
        <f aca="false">G14/D14</f>
        <v>0.331003388202652</v>
      </c>
      <c r="P14" s="19" t="s">
        <v>199</v>
      </c>
    </row>
    <row r="15" customFormat="false" ht="15" hidden="false" customHeight="false" outlineLevel="0" collapsed="false">
      <c r="A15" s="19" t="s">
        <v>220</v>
      </c>
      <c r="B15" s="19" t="s">
        <v>221</v>
      </c>
      <c r="C15" s="19" t="s">
        <v>111</v>
      </c>
      <c r="D15" s="20" t="n">
        <v>38639</v>
      </c>
      <c r="E15" s="20" t="n">
        <v>1519</v>
      </c>
      <c r="F15" s="20" t="n">
        <v>6146</v>
      </c>
      <c r="G15" s="20" t="n">
        <v>9296</v>
      </c>
      <c r="H15" s="23" t="n">
        <f aca="false">G15/F15</f>
        <v>1.5125284738041</v>
      </c>
      <c r="I15" s="22" t="n">
        <f aca="false">E15*H15</f>
        <v>2297.53075170843</v>
      </c>
      <c r="J15" s="22" t="n">
        <f aca="false">ROUND(I15*Parametros!$C$25,0)</f>
        <v>46</v>
      </c>
      <c r="K15" s="22" t="n">
        <f aca="false">ROUND(I15*Parametros!$C$26,0)</f>
        <v>115</v>
      </c>
      <c r="L15" s="22" t="n">
        <f aca="false">ROUND(I15*Parametros!$C$24,0)</f>
        <v>230</v>
      </c>
      <c r="M15" s="22" t="n">
        <f aca="false">ROUND(I15*Parametros!$C$27,0)</f>
        <v>299</v>
      </c>
      <c r="N15" s="22" t="n">
        <f aca="false">ROUND(E15*Parametros!$C$28*Parametros!$C$24,0)</f>
        <v>456</v>
      </c>
      <c r="O15" s="21" t="n">
        <f aca="false">G15/D15</f>
        <v>0.24058593648904</v>
      </c>
      <c r="P15" s="19" t="s">
        <v>199</v>
      </c>
    </row>
    <row r="16" customFormat="false" ht="15" hidden="false" customHeight="false" outlineLevel="0" collapsed="false">
      <c r="A16" s="19" t="s">
        <v>222</v>
      </c>
      <c r="B16" s="19" t="s">
        <v>223</v>
      </c>
      <c r="C16" s="19" t="s">
        <v>111</v>
      </c>
      <c r="D16" s="20" t="n">
        <v>16843</v>
      </c>
      <c r="E16" s="20" t="n">
        <v>651</v>
      </c>
      <c r="F16" s="20" t="n">
        <v>2522</v>
      </c>
      <c r="G16" s="20" t="n">
        <v>6237</v>
      </c>
      <c r="H16" s="23" t="n">
        <f aca="false">G16/F16</f>
        <v>2.47303727200634</v>
      </c>
      <c r="I16" s="22" t="n">
        <f aca="false">E16*H16</f>
        <v>1609.94726407613</v>
      </c>
      <c r="J16" s="22" t="n">
        <f aca="false">ROUND(I16*Parametros!$C$25,0)</f>
        <v>32</v>
      </c>
      <c r="K16" s="22" t="n">
        <f aca="false">ROUND(I16*Parametros!$C$26,0)</f>
        <v>80</v>
      </c>
      <c r="L16" s="22" t="n">
        <f aca="false">ROUND(I16*Parametros!$C$24,0)</f>
        <v>161</v>
      </c>
      <c r="M16" s="22" t="n">
        <f aca="false">ROUND(I16*Parametros!$C$27,0)</f>
        <v>209</v>
      </c>
      <c r="N16" s="22" t="n">
        <f aca="false">ROUND(E16*Parametros!$C$28*Parametros!$C$24,0)</f>
        <v>195</v>
      </c>
      <c r="O16" s="21" t="n">
        <f aca="false">G16/D16</f>
        <v>0.370302202695482</v>
      </c>
      <c r="P16" s="19" t="s">
        <v>199</v>
      </c>
    </row>
    <row r="17" customFormat="false" ht="15" hidden="false" customHeight="false" outlineLevel="0" collapsed="false">
      <c r="A17" s="19" t="s">
        <v>224</v>
      </c>
      <c r="B17" s="19" t="s">
        <v>225</v>
      </c>
      <c r="C17" s="19" t="s">
        <v>111</v>
      </c>
      <c r="D17" s="20" t="n">
        <v>20058</v>
      </c>
      <c r="E17" s="20" t="n">
        <v>605</v>
      </c>
      <c r="F17" s="20" t="n">
        <v>3089</v>
      </c>
      <c r="G17" s="20" t="n">
        <v>7897</v>
      </c>
      <c r="H17" s="23" t="n">
        <f aca="false">G17/F17</f>
        <v>2.55649077371318</v>
      </c>
      <c r="I17" s="22" t="n">
        <f aca="false">E17*H17</f>
        <v>1546.67691809647</v>
      </c>
      <c r="J17" s="22" t="n">
        <f aca="false">ROUND(I17*Parametros!$C$25,0)</f>
        <v>31</v>
      </c>
      <c r="K17" s="22" t="n">
        <f aca="false">ROUND(I17*Parametros!$C$26,0)</f>
        <v>77</v>
      </c>
      <c r="L17" s="22" t="n">
        <f aca="false">ROUND(I17*Parametros!$C$24,0)</f>
        <v>155</v>
      </c>
      <c r="M17" s="22" t="n">
        <f aca="false">ROUND(I17*Parametros!$C$27,0)</f>
        <v>201</v>
      </c>
      <c r="N17" s="22" t="n">
        <f aca="false">ROUND(E17*Parametros!$C$28*Parametros!$C$24,0)</f>
        <v>182</v>
      </c>
      <c r="O17" s="21" t="n">
        <f aca="false">G17/D17</f>
        <v>0.39370824608635</v>
      </c>
      <c r="P17" s="19" t="s">
        <v>199</v>
      </c>
    </row>
    <row r="18" customFormat="false" ht="15" hidden="false" customHeight="false" outlineLevel="0" collapsed="false">
      <c r="A18" s="19" t="s">
        <v>226</v>
      </c>
      <c r="B18" s="19" t="s">
        <v>227</v>
      </c>
      <c r="C18" s="19" t="s">
        <v>111</v>
      </c>
      <c r="D18" s="20" t="n">
        <v>5538</v>
      </c>
      <c r="E18" s="20" t="n">
        <v>598</v>
      </c>
      <c r="F18" s="20" t="n">
        <v>1514</v>
      </c>
      <c r="G18" s="20" t="n">
        <v>3700</v>
      </c>
      <c r="H18" s="23" t="n">
        <f aca="false">G18/F18</f>
        <v>2.44385733157199</v>
      </c>
      <c r="I18" s="22" t="n">
        <f aca="false">E18*H18</f>
        <v>1461.42668428005</v>
      </c>
      <c r="J18" s="22" t="n">
        <f aca="false">ROUND(I18*Parametros!$C$25,0)</f>
        <v>29</v>
      </c>
      <c r="K18" s="22" t="n">
        <f aca="false">ROUND(I18*Parametros!$C$26,0)</f>
        <v>73</v>
      </c>
      <c r="L18" s="22" t="n">
        <f aca="false">ROUND(I18*Parametros!$C$24,0)</f>
        <v>146</v>
      </c>
      <c r="M18" s="22" t="n">
        <f aca="false">ROUND(I18*Parametros!$C$27,0)</f>
        <v>190</v>
      </c>
      <c r="N18" s="22" t="n">
        <f aca="false">ROUND(E18*Parametros!$C$28*Parametros!$C$24,0)</f>
        <v>179</v>
      </c>
      <c r="O18" s="21" t="n">
        <f aca="false">G18/D18</f>
        <v>0.668111231491513</v>
      </c>
      <c r="P18" s="19" t="s">
        <v>199</v>
      </c>
    </row>
    <row r="19" customFormat="false" ht="15" hidden="false" customHeight="false" outlineLevel="0" collapsed="false">
      <c r="A19" s="19" t="s">
        <v>228</v>
      </c>
      <c r="B19" s="19" t="s">
        <v>229</v>
      </c>
      <c r="C19" s="19" t="s">
        <v>149</v>
      </c>
      <c r="D19" s="20" t="n">
        <v>74463</v>
      </c>
      <c r="E19" s="20" t="n">
        <v>587</v>
      </c>
      <c r="F19" s="20" t="n">
        <v>1084</v>
      </c>
      <c r="G19" s="20" t="n">
        <v>2550</v>
      </c>
      <c r="H19" s="23" t="n">
        <f aca="false">G19/F19</f>
        <v>2.35239852398524</v>
      </c>
      <c r="I19" s="22" t="n">
        <f aca="false">E19*H19</f>
        <v>1380.85793357934</v>
      </c>
      <c r="J19" s="22" t="n">
        <f aca="false">ROUND(I19*Parametros!$C$25,0)</f>
        <v>28</v>
      </c>
      <c r="K19" s="22" t="n">
        <f aca="false">ROUND(I19*Parametros!$C$26,0)</f>
        <v>69</v>
      </c>
      <c r="L19" s="22" t="n">
        <f aca="false">ROUND(I19*Parametros!$C$24,0)</f>
        <v>138</v>
      </c>
      <c r="M19" s="22" t="n">
        <f aca="false">ROUND(I19*Parametros!$C$27,0)</f>
        <v>180</v>
      </c>
      <c r="N19" s="22" t="n">
        <f aca="false">ROUND(E19*Parametros!$C$28*Parametros!$C$24,0)</f>
        <v>176</v>
      </c>
      <c r="O19" s="21" t="n">
        <f aca="false">G19/D19</f>
        <v>0.0342451956004996</v>
      </c>
      <c r="P19" s="19" t="s">
        <v>199</v>
      </c>
    </row>
    <row r="20" customFormat="false" ht="15" hidden="false" customHeight="false" outlineLevel="0" collapsed="false">
      <c r="A20" s="19" t="s">
        <v>230</v>
      </c>
      <c r="B20" s="19" t="s">
        <v>231</v>
      </c>
      <c r="C20" s="19" t="s">
        <v>111</v>
      </c>
      <c r="D20" s="20" t="n">
        <v>34699</v>
      </c>
      <c r="E20" s="20" t="n">
        <v>718</v>
      </c>
      <c r="F20" s="20" t="n">
        <v>3824</v>
      </c>
      <c r="G20" s="20" t="n">
        <v>7130</v>
      </c>
      <c r="H20" s="23" t="n">
        <f aca="false">G20/F20</f>
        <v>1.86453974895397</v>
      </c>
      <c r="I20" s="22" t="n">
        <f aca="false">E20*H20</f>
        <v>1338.73953974895</v>
      </c>
      <c r="J20" s="22" t="n">
        <f aca="false">ROUND(I20*Parametros!$C$25,0)</f>
        <v>27</v>
      </c>
      <c r="K20" s="22" t="n">
        <f aca="false">ROUND(I20*Parametros!$C$26,0)</f>
        <v>67</v>
      </c>
      <c r="L20" s="22" t="n">
        <f aca="false">ROUND(I20*Parametros!$C$24,0)</f>
        <v>134</v>
      </c>
      <c r="M20" s="22" t="n">
        <f aca="false">ROUND(I20*Parametros!$C$27,0)</f>
        <v>174</v>
      </c>
      <c r="N20" s="22" t="n">
        <f aca="false">ROUND(E20*Parametros!$C$28*Parametros!$C$24,0)</f>
        <v>215</v>
      </c>
      <c r="O20" s="21" t="n">
        <f aca="false">G20/D20</f>
        <v>0.205481425977694</v>
      </c>
      <c r="P20" s="19" t="s">
        <v>199</v>
      </c>
    </row>
    <row r="21" customFormat="false" ht="15" hidden="false" customHeight="false" outlineLevel="0" collapsed="false">
      <c r="A21" s="19" t="s">
        <v>232</v>
      </c>
      <c r="B21" s="19" t="s">
        <v>233</v>
      </c>
      <c r="C21" s="19" t="s">
        <v>111</v>
      </c>
      <c r="D21" s="20" t="n">
        <v>14922</v>
      </c>
      <c r="E21" s="20" t="n">
        <v>565</v>
      </c>
      <c r="F21" s="20" t="n">
        <v>2196</v>
      </c>
      <c r="G21" s="20" t="n">
        <v>4986</v>
      </c>
      <c r="H21" s="23" t="n">
        <f aca="false">G21/F21</f>
        <v>2.27049180327869</v>
      </c>
      <c r="I21" s="22" t="n">
        <f aca="false">E21*H21</f>
        <v>1282.82786885246</v>
      </c>
      <c r="J21" s="22" t="n">
        <f aca="false">ROUND(I21*Parametros!$C$25,0)</f>
        <v>26</v>
      </c>
      <c r="K21" s="22" t="n">
        <f aca="false">ROUND(I21*Parametros!$C$26,0)</f>
        <v>64</v>
      </c>
      <c r="L21" s="22" t="n">
        <f aca="false">ROUND(I21*Parametros!$C$24,0)</f>
        <v>128</v>
      </c>
      <c r="M21" s="22" t="n">
        <f aca="false">ROUND(I21*Parametros!$C$27,0)</f>
        <v>167</v>
      </c>
      <c r="N21" s="22" t="n">
        <f aca="false">ROUND(E21*Parametros!$C$28*Parametros!$C$24,0)</f>
        <v>170</v>
      </c>
      <c r="O21" s="21" t="n">
        <f aca="false">G21/D21</f>
        <v>0.334137515078408</v>
      </c>
      <c r="P21" s="19" t="s">
        <v>199</v>
      </c>
    </row>
    <row r="22" customFormat="false" ht="15" hidden="false" customHeight="false" outlineLevel="0" collapsed="false">
      <c r="A22" s="19" t="s">
        <v>234</v>
      </c>
      <c r="B22" s="19" t="s">
        <v>235</v>
      </c>
      <c r="C22" s="19" t="s">
        <v>111</v>
      </c>
      <c r="D22" s="20" t="n">
        <v>16021</v>
      </c>
      <c r="E22" s="20" t="n">
        <v>539</v>
      </c>
      <c r="F22" s="20" t="n">
        <v>2180</v>
      </c>
      <c r="G22" s="20" t="n">
        <v>5076</v>
      </c>
      <c r="H22" s="23" t="n">
        <f aca="false">G22/F22</f>
        <v>2.32844036697248</v>
      </c>
      <c r="I22" s="22" t="n">
        <f aca="false">E22*H22</f>
        <v>1255.02935779817</v>
      </c>
      <c r="J22" s="22" t="n">
        <f aca="false">ROUND(I22*Parametros!$C$25,0)</f>
        <v>25</v>
      </c>
      <c r="K22" s="22" t="n">
        <f aca="false">ROUND(I22*Parametros!$C$26,0)</f>
        <v>63</v>
      </c>
      <c r="L22" s="22" t="n">
        <f aca="false">ROUND(I22*Parametros!$C$24,0)</f>
        <v>126</v>
      </c>
      <c r="M22" s="22" t="n">
        <f aca="false">ROUND(I22*Parametros!$C$27,0)</f>
        <v>163</v>
      </c>
      <c r="N22" s="22" t="n">
        <f aca="false">ROUND(E22*Parametros!$C$28*Parametros!$C$24,0)</f>
        <v>162</v>
      </c>
      <c r="O22" s="21" t="n">
        <f aca="false">G22/D22</f>
        <v>0.316834155171338</v>
      </c>
      <c r="P22" s="19" t="s">
        <v>217</v>
      </c>
    </row>
    <row r="23" customFormat="false" ht="15" hidden="false" customHeight="false" outlineLevel="0" collapsed="false">
      <c r="A23" s="19" t="s">
        <v>236</v>
      </c>
      <c r="B23" s="19" t="s">
        <v>237</v>
      </c>
      <c r="C23" s="19" t="s">
        <v>111</v>
      </c>
      <c r="D23" s="20" t="n">
        <v>43993</v>
      </c>
      <c r="E23" s="20" t="n">
        <v>546</v>
      </c>
      <c r="F23" s="20" t="n">
        <v>2544</v>
      </c>
      <c r="G23" s="20" t="n">
        <v>5325</v>
      </c>
      <c r="H23" s="23" t="n">
        <f aca="false">G23/F23</f>
        <v>2.09316037735849</v>
      </c>
      <c r="I23" s="22" t="n">
        <f aca="false">E23*H23</f>
        <v>1142.86556603774</v>
      </c>
      <c r="J23" s="22" t="n">
        <f aca="false">ROUND(I23*Parametros!$C$25,0)</f>
        <v>23</v>
      </c>
      <c r="K23" s="22" t="n">
        <f aca="false">ROUND(I23*Parametros!$C$26,0)</f>
        <v>57</v>
      </c>
      <c r="L23" s="22" t="n">
        <f aca="false">ROUND(I23*Parametros!$C$24,0)</f>
        <v>114</v>
      </c>
      <c r="M23" s="22" t="n">
        <f aca="false">ROUND(I23*Parametros!$C$27,0)</f>
        <v>149</v>
      </c>
      <c r="N23" s="22" t="n">
        <f aca="false">ROUND(E23*Parametros!$C$28*Parametros!$C$24,0)</f>
        <v>164</v>
      </c>
      <c r="O23" s="21" t="n">
        <f aca="false">G23/D23</f>
        <v>0.121041983951992</v>
      </c>
      <c r="P23" s="19" t="s">
        <v>199</v>
      </c>
    </row>
    <row r="24" customFormat="false" ht="15" hidden="false" customHeight="false" outlineLevel="0" collapsed="false">
      <c r="A24" s="19" t="s">
        <v>238</v>
      </c>
      <c r="B24" s="19" t="s">
        <v>239</v>
      </c>
      <c r="C24" s="19" t="s">
        <v>111</v>
      </c>
      <c r="D24" s="20" t="n">
        <v>44172</v>
      </c>
      <c r="E24" s="20" t="n">
        <v>550</v>
      </c>
      <c r="F24" s="20" t="n">
        <v>5228</v>
      </c>
      <c r="G24" s="20" t="n">
        <v>10677</v>
      </c>
      <c r="H24" s="23" t="n">
        <f aca="false">G24/F24</f>
        <v>2.04227237949503</v>
      </c>
      <c r="I24" s="22" t="n">
        <f aca="false">E24*H24</f>
        <v>1123.24980872226</v>
      </c>
      <c r="J24" s="22" t="n">
        <f aca="false">ROUND(I24*Parametros!$C$25,0)</f>
        <v>22</v>
      </c>
      <c r="K24" s="22" t="n">
        <f aca="false">ROUND(I24*Parametros!$C$26,0)</f>
        <v>56</v>
      </c>
      <c r="L24" s="22" t="n">
        <f aca="false">ROUND(I24*Parametros!$C$24,0)</f>
        <v>112</v>
      </c>
      <c r="M24" s="22" t="n">
        <f aca="false">ROUND(I24*Parametros!$C$27,0)</f>
        <v>146</v>
      </c>
      <c r="N24" s="22" t="n">
        <f aca="false">ROUND(E24*Parametros!$C$28*Parametros!$C$24,0)</f>
        <v>165</v>
      </c>
      <c r="O24" s="21" t="n">
        <f aca="false">G24/D24</f>
        <v>0.241714208095626</v>
      </c>
      <c r="P24" s="19" t="s">
        <v>199</v>
      </c>
    </row>
    <row r="25" customFormat="false" ht="15" hidden="false" customHeight="false" outlineLevel="0" collapsed="false">
      <c r="A25" s="19" t="s">
        <v>240</v>
      </c>
      <c r="B25" s="19" t="s">
        <v>241</v>
      </c>
      <c r="C25" s="19" t="s">
        <v>111</v>
      </c>
      <c r="D25" s="20" t="n">
        <v>7010</v>
      </c>
      <c r="E25" s="20" t="n">
        <v>447</v>
      </c>
      <c r="F25" s="20" t="n">
        <v>1987</v>
      </c>
      <c r="G25" s="20" t="n">
        <v>4563</v>
      </c>
      <c r="H25" s="23" t="n">
        <f aca="false">G25/F25</f>
        <v>2.2964267740312</v>
      </c>
      <c r="I25" s="22" t="n">
        <f aca="false">E25*H25</f>
        <v>1026.50276799195</v>
      </c>
      <c r="J25" s="22" t="n">
        <f aca="false">ROUND(I25*Parametros!$C$25,0)</f>
        <v>21</v>
      </c>
      <c r="K25" s="22" t="n">
        <f aca="false">ROUND(I25*Parametros!$C$26,0)</f>
        <v>51</v>
      </c>
      <c r="L25" s="22" t="n">
        <f aca="false">ROUND(I25*Parametros!$C$24,0)</f>
        <v>103</v>
      </c>
      <c r="M25" s="22" t="n">
        <f aca="false">ROUND(I25*Parametros!$C$27,0)</f>
        <v>133</v>
      </c>
      <c r="N25" s="22" t="n">
        <f aca="false">ROUND(E25*Parametros!$C$28*Parametros!$C$24,0)</f>
        <v>134</v>
      </c>
      <c r="O25" s="21" t="n">
        <f aca="false">G25/D25</f>
        <v>0.6509272467903</v>
      </c>
      <c r="P25" s="19" t="s">
        <v>199</v>
      </c>
    </row>
    <row r="26" customFormat="false" ht="15" hidden="false" customHeight="false" outlineLevel="0" collapsed="false">
      <c r="A26" s="19" t="s">
        <v>242</v>
      </c>
      <c r="B26" s="19" t="s">
        <v>243</v>
      </c>
      <c r="C26" s="19" t="s">
        <v>111</v>
      </c>
      <c r="D26" s="20" t="n">
        <v>17825</v>
      </c>
      <c r="E26" s="20" t="n">
        <v>501</v>
      </c>
      <c r="F26" s="20" t="n">
        <v>2284</v>
      </c>
      <c r="G26" s="20" t="n">
        <v>4512</v>
      </c>
      <c r="H26" s="23" t="n">
        <f aca="false">G26/F26</f>
        <v>1.97548161120841</v>
      </c>
      <c r="I26" s="22" t="n">
        <f aca="false">E26*H26</f>
        <v>989.716287215412</v>
      </c>
      <c r="J26" s="22" t="n">
        <f aca="false">ROUND(I26*Parametros!$C$25,0)</f>
        <v>20</v>
      </c>
      <c r="K26" s="22" t="n">
        <f aca="false">ROUND(I26*Parametros!$C$26,0)</f>
        <v>49</v>
      </c>
      <c r="L26" s="22" t="n">
        <f aca="false">ROUND(I26*Parametros!$C$24,0)</f>
        <v>99</v>
      </c>
      <c r="M26" s="22" t="n">
        <f aca="false">ROUND(I26*Parametros!$C$27,0)</f>
        <v>129</v>
      </c>
      <c r="N26" s="22" t="n">
        <f aca="false">ROUND(E26*Parametros!$C$28*Parametros!$C$24,0)</f>
        <v>150</v>
      </c>
      <c r="O26" s="21" t="n">
        <f aca="false">G26/D26</f>
        <v>0.25312762973352</v>
      </c>
      <c r="P26" s="19" t="s">
        <v>212</v>
      </c>
    </row>
    <row r="27" customFormat="false" ht="15" hidden="false" customHeight="false" outlineLevel="0" collapsed="false">
      <c r="A27" s="19" t="s">
        <v>244</v>
      </c>
      <c r="B27" s="19" t="s">
        <v>245</v>
      </c>
      <c r="C27" s="19" t="s">
        <v>111</v>
      </c>
      <c r="D27" s="20" t="n">
        <v>18765</v>
      </c>
      <c r="E27" s="20" t="n">
        <v>512</v>
      </c>
      <c r="F27" s="20" t="n">
        <v>1726</v>
      </c>
      <c r="G27" s="20" t="n">
        <v>3156</v>
      </c>
      <c r="H27" s="23" t="n">
        <f aca="false">G27/F27</f>
        <v>1.82850521436848</v>
      </c>
      <c r="I27" s="22" t="n">
        <f aca="false">E27*H27</f>
        <v>936.194669756663</v>
      </c>
      <c r="J27" s="22" t="n">
        <f aca="false">ROUND(I27*Parametros!$C$25,0)</f>
        <v>19</v>
      </c>
      <c r="K27" s="22" t="n">
        <f aca="false">ROUND(I27*Parametros!$C$26,0)</f>
        <v>47</v>
      </c>
      <c r="L27" s="22" t="n">
        <f aca="false">ROUND(I27*Parametros!$C$24,0)</f>
        <v>94</v>
      </c>
      <c r="M27" s="22" t="n">
        <f aca="false">ROUND(I27*Parametros!$C$27,0)</f>
        <v>122</v>
      </c>
      <c r="N27" s="22" t="n">
        <f aca="false">ROUND(E27*Parametros!$C$28*Parametros!$C$24,0)</f>
        <v>154</v>
      </c>
      <c r="O27" s="21" t="n">
        <f aca="false">G27/D27</f>
        <v>0.168185451638689</v>
      </c>
      <c r="P27" s="19" t="s">
        <v>199</v>
      </c>
    </row>
    <row r="28" customFormat="false" ht="15" hidden="false" customHeight="false" outlineLevel="0" collapsed="false">
      <c r="A28" s="19" t="s">
        <v>246</v>
      </c>
      <c r="B28" s="19" t="s">
        <v>247</v>
      </c>
      <c r="C28" s="19" t="s">
        <v>198</v>
      </c>
      <c r="D28" s="20" t="n">
        <v>28386</v>
      </c>
      <c r="E28" s="20" t="n">
        <v>417</v>
      </c>
      <c r="F28" s="20" t="n">
        <v>1982</v>
      </c>
      <c r="G28" s="20" t="n">
        <v>4408</v>
      </c>
      <c r="H28" s="23" t="n">
        <f aca="false">G28/F28</f>
        <v>2.22401614530777</v>
      </c>
      <c r="I28" s="22" t="n">
        <f aca="false">E28*H28</f>
        <v>927.41473259334</v>
      </c>
      <c r="J28" s="22" t="n">
        <f aca="false">ROUND(I28*Parametros!$C$25,0)</f>
        <v>19</v>
      </c>
      <c r="K28" s="22" t="n">
        <f aca="false">ROUND(I28*Parametros!$C$26,0)</f>
        <v>46</v>
      </c>
      <c r="L28" s="22" t="n">
        <f aca="false">ROUND(I28*Parametros!$C$24,0)</f>
        <v>93</v>
      </c>
      <c r="M28" s="22" t="n">
        <f aca="false">ROUND(I28*Parametros!$C$27,0)</f>
        <v>121</v>
      </c>
      <c r="N28" s="22" t="n">
        <f aca="false">ROUND(E28*Parametros!$C$28*Parametros!$C$24,0)</f>
        <v>125</v>
      </c>
      <c r="O28" s="21" t="n">
        <f aca="false">G28/D28</f>
        <v>0.15528781793842</v>
      </c>
      <c r="P28" s="19" t="s">
        <v>212</v>
      </c>
    </row>
    <row r="29" customFormat="false" ht="15" hidden="false" customHeight="false" outlineLevel="0" collapsed="false">
      <c r="A29" s="19" t="s">
        <v>248</v>
      </c>
      <c r="B29" s="19" t="s">
        <v>249</v>
      </c>
      <c r="C29" s="19" t="s">
        <v>111</v>
      </c>
      <c r="D29" s="20" t="n">
        <v>25527</v>
      </c>
      <c r="E29" s="20" t="n">
        <v>584</v>
      </c>
      <c r="F29" s="20" t="n">
        <v>2195</v>
      </c>
      <c r="G29" s="20" t="n">
        <v>3427</v>
      </c>
      <c r="H29" s="23" t="n">
        <f aca="false">G29/F29</f>
        <v>1.56127562642369</v>
      </c>
      <c r="I29" s="22" t="n">
        <f aca="false">E29*H29</f>
        <v>911.784965831435</v>
      </c>
      <c r="J29" s="22" t="n">
        <f aca="false">ROUND(I29*Parametros!$C$25,0)</f>
        <v>18</v>
      </c>
      <c r="K29" s="22" t="n">
        <f aca="false">ROUND(I29*Parametros!$C$26,0)</f>
        <v>46</v>
      </c>
      <c r="L29" s="22" t="n">
        <f aca="false">ROUND(I29*Parametros!$C$24,0)</f>
        <v>91</v>
      </c>
      <c r="M29" s="22" t="n">
        <f aca="false">ROUND(I29*Parametros!$C$27,0)</f>
        <v>119</v>
      </c>
      <c r="N29" s="22" t="n">
        <f aca="false">ROUND(E29*Parametros!$C$28*Parametros!$C$24,0)</f>
        <v>175</v>
      </c>
      <c r="O29" s="21" t="n">
        <f aca="false">G29/D29</f>
        <v>0.134250009793552</v>
      </c>
      <c r="P29" s="19" t="s">
        <v>217</v>
      </c>
    </row>
    <row r="30" customFormat="false" ht="15" hidden="false" customHeight="false" outlineLevel="0" collapsed="false">
      <c r="A30" s="19" t="s">
        <v>250</v>
      </c>
      <c r="B30" s="19" t="s">
        <v>251</v>
      </c>
      <c r="C30" s="19" t="s">
        <v>111</v>
      </c>
      <c r="D30" s="20" t="n">
        <v>16207</v>
      </c>
      <c r="E30" s="20" t="n">
        <v>421</v>
      </c>
      <c r="F30" s="20" t="n">
        <v>2095</v>
      </c>
      <c r="G30" s="20" t="n">
        <v>4418</v>
      </c>
      <c r="H30" s="23" t="n">
        <f aca="false">G30/F30</f>
        <v>2.10883054892601</v>
      </c>
      <c r="I30" s="22" t="n">
        <f aca="false">E30*H30</f>
        <v>887.817661097852</v>
      </c>
      <c r="J30" s="22" t="n">
        <f aca="false">ROUND(I30*Parametros!$C$25,0)</f>
        <v>18</v>
      </c>
      <c r="K30" s="22" t="n">
        <f aca="false">ROUND(I30*Parametros!$C$26,0)</f>
        <v>44</v>
      </c>
      <c r="L30" s="22" t="n">
        <f aca="false">ROUND(I30*Parametros!$C$24,0)</f>
        <v>89</v>
      </c>
      <c r="M30" s="22" t="n">
        <f aca="false">ROUND(I30*Parametros!$C$27,0)</f>
        <v>115</v>
      </c>
      <c r="N30" s="22" t="n">
        <f aca="false">ROUND(E30*Parametros!$C$28*Parametros!$C$24,0)</f>
        <v>126</v>
      </c>
      <c r="O30" s="21" t="n">
        <f aca="false">G30/D30</f>
        <v>0.272598260011106</v>
      </c>
      <c r="P30" s="19" t="s">
        <v>199</v>
      </c>
    </row>
    <row r="31" customFormat="false" ht="15" hidden="false" customHeight="false" outlineLevel="0" collapsed="false">
      <c r="A31" s="19" t="s">
        <v>252</v>
      </c>
      <c r="B31" s="19" t="s">
        <v>253</v>
      </c>
      <c r="C31" s="19" t="s">
        <v>111</v>
      </c>
      <c r="D31" s="20" t="n">
        <v>30248</v>
      </c>
      <c r="E31" s="20" t="n">
        <v>424</v>
      </c>
      <c r="F31" s="20" t="n">
        <v>2620</v>
      </c>
      <c r="G31" s="20" t="n">
        <v>4971</v>
      </c>
      <c r="H31" s="23" t="n">
        <f aca="false">G31/F31</f>
        <v>1.89732824427481</v>
      </c>
      <c r="I31" s="22" t="n">
        <f aca="false">E31*H31</f>
        <v>804.467175572519</v>
      </c>
      <c r="J31" s="22" t="n">
        <f aca="false">ROUND(I31*Parametros!$C$25,0)</f>
        <v>16</v>
      </c>
      <c r="K31" s="22" t="n">
        <f aca="false">ROUND(I31*Parametros!$C$26,0)</f>
        <v>40</v>
      </c>
      <c r="L31" s="22" t="n">
        <f aca="false">ROUND(I31*Parametros!$C$24,0)</f>
        <v>80</v>
      </c>
      <c r="M31" s="22" t="n">
        <f aca="false">ROUND(I31*Parametros!$C$27,0)</f>
        <v>105</v>
      </c>
      <c r="N31" s="22" t="n">
        <f aca="false">ROUND(E31*Parametros!$C$28*Parametros!$C$24,0)</f>
        <v>127</v>
      </c>
      <c r="O31" s="21" t="n">
        <f aca="false">G31/D31</f>
        <v>0.164341444062417</v>
      </c>
      <c r="P31" s="19" t="s">
        <v>217</v>
      </c>
    </row>
    <row r="32" customFormat="false" ht="15" hidden="false" customHeight="false" outlineLevel="0" collapsed="false">
      <c r="A32" s="19" t="s">
        <v>254</v>
      </c>
      <c r="B32" s="19" t="s">
        <v>255</v>
      </c>
      <c r="C32" s="19" t="s">
        <v>166</v>
      </c>
      <c r="D32" s="20" t="n">
        <v>28971</v>
      </c>
      <c r="E32" s="20" t="n">
        <v>409</v>
      </c>
      <c r="F32" s="20" t="n">
        <v>2634</v>
      </c>
      <c r="G32" s="20" t="n">
        <v>4714</v>
      </c>
      <c r="H32" s="23" t="n">
        <f aca="false">G32/F32</f>
        <v>1.78967350037965</v>
      </c>
      <c r="I32" s="22" t="n">
        <f aca="false">E32*H32</f>
        <v>731.976461655277</v>
      </c>
      <c r="J32" s="22" t="n">
        <f aca="false">ROUND(I32*Parametros!$C$25,0)</f>
        <v>15</v>
      </c>
      <c r="K32" s="22" t="n">
        <f aca="false">ROUND(I32*Parametros!$C$26,0)</f>
        <v>37</v>
      </c>
      <c r="L32" s="22" t="n">
        <f aca="false">ROUND(I32*Parametros!$C$24,0)</f>
        <v>73</v>
      </c>
      <c r="M32" s="22" t="n">
        <f aca="false">ROUND(I32*Parametros!$C$27,0)</f>
        <v>95</v>
      </c>
      <c r="N32" s="22" t="n">
        <f aca="false">ROUND(E32*Parametros!$C$28*Parametros!$C$24,0)</f>
        <v>123</v>
      </c>
      <c r="O32" s="21" t="n">
        <f aca="false">G32/D32</f>
        <v>0.162714438576508</v>
      </c>
      <c r="P32" s="19" t="s">
        <v>199</v>
      </c>
    </row>
    <row r="33" customFormat="false" ht="15" hidden="false" customHeight="false" outlineLevel="0" collapsed="false">
      <c r="A33" s="19" t="s">
        <v>256</v>
      </c>
      <c r="B33" s="19" t="s">
        <v>257</v>
      </c>
      <c r="C33" s="19" t="s">
        <v>166</v>
      </c>
      <c r="D33" s="20" t="n">
        <v>74399</v>
      </c>
      <c r="E33" s="20" t="n">
        <v>450</v>
      </c>
      <c r="F33" s="20" t="n">
        <v>6883</v>
      </c>
      <c r="G33" s="20" t="n">
        <v>10370</v>
      </c>
      <c r="H33" s="23" t="n">
        <f aca="false">G33/F33</f>
        <v>1.50661048961209</v>
      </c>
      <c r="I33" s="22" t="n">
        <f aca="false">E33*H33</f>
        <v>677.97472032544</v>
      </c>
      <c r="J33" s="22" t="n">
        <f aca="false">ROUND(I33*Parametros!$C$25,0)</f>
        <v>14</v>
      </c>
      <c r="K33" s="22" t="n">
        <f aca="false">ROUND(I33*Parametros!$C$26,0)</f>
        <v>34</v>
      </c>
      <c r="L33" s="22" t="n">
        <f aca="false">ROUND(I33*Parametros!$C$24,0)</f>
        <v>68</v>
      </c>
      <c r="M33" s="22" t="n">
        <f aca="false">ROUND(I33*Parametros!$C$27,0)</f>
        <v>88</v>
      </c>
      <c r="N33" s="22" t="n">
        <f aca="false">ROUND(E33*Parametros!$C$28*Parametros!$C$24,0)</f>
        <v>135</v>
      </c>
      <c r="O33" s="21" t="n">
        <f aca="false">G33/D33</f>
        <v>0.139383593865509</v>
      </c>
      <c r="P33" s="19" t="s">
        <v>199</v>
      </c>
    </row>
    <row r="34" customFormat="false" ht="15" hidden="false" customHeight="false" outlineLevel="0" collapsed="false">
      <c r="B34" s="25" t="s">
        <v>258</v>
      </c>
      <c r="E34" s="30" t="n">
        <f aca="false">SUM(E5:E33)</f>
        <v>88091</v>
      </c>
      <c r="I34" s="30" t="n">
        <f aca="false">SUM(I5:I33)</f>
        <v>188790.188814071</v>
      </c>
      <c r="J34" s="30" t="n">
        <f aca="false">SUM(J5:J33)</f>
        <v>3777</v>
      </c>
      <c r="K34" s="30" t="n">
        <f aca="false">SUM(K5:K33)</f>
        <v>9438</v>
      </c>
      <c r="L34" s="30" t="n">
        <f aca="false">SUM(L5:L33)</f>
        <v>18880</v>
      </c>
      <c r="M34" s="30" t="n">
        <f aca="false">SUM(M5:M33)</f>
        <v>24546</v>
      </c>
      <c r="N34" s="30" t="n">
        <f aca="false">SUM(N5:N33)</f>
        <v>26428</v>
      </c>
    </row>
    <row r="36" customFormat="false" ht="15" hidden="false" customHeight="false" outlineLevel="0" collapsed="false">
      <c r="A36" s="2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2026-09-30T20:03:25Z</dcterms:created>
  <dc:creator>openpyxl</dc:creator>
  <dc:description/>
  <dc:language>en-US</dc:language>
  <cp:lastModifiedBy/>
  <dcterms:modified xsi:type="dcterms:W3CDTF">2026-09-30T20:03:26Z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